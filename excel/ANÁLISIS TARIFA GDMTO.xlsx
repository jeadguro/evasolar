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lana\OneDrive\Desktop\Documentos Respaldo\PROYECTOS ANIA SOLAR\Curso sistemas fotovoltaicos interconectados\CURSO PREGRABADO TARIFAS ELÉCTRICAS EN BAJA TENSIÓN\"/>
    </mc:Choice>
  </mc:AlternateContent>
  <xr:revisionPtr revIDLastSave="0" documentId="13_ncr:1_{E4A9D812-5E09-4B08-8943-07DE9467217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P" sheetId="3" r:id="rId1"/>
    <sheet name="CON FACTOR DE POTENCIA " sheetId="2" r:id="rId2"/>
    <sheet name="tabla general" sheetId="4" r:id="rId3"/>
    <sheet name="COTIZACIÓN " sheetId="5" r:id="rId4"/>
    <sheet name="ROI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4" l="1"/>
  <c r="E9" i="5"/>
  <c r="E8" i="5"/>
  <c r="E10" i="5"/>
  <c r="T38" i="2"/>
  <c r="U38" i="2"/>
  <c r="T21" i="2"/>
  <c r="U21" i="2"/>
  <c r="U22" i="2"/>
  <c r="U23" i="2"/>
  <c r="U24" i="2"/>
  <c r="U25" i="2"/>
  <c r="U26" i="2"/>
  <c r="U27" i="2"/>
  <c r="U28" i="2"/>
  <c r="U29" i="2"/>
  <c r="U30" i="2"/>
  <c r="U31" i="2"/>
  <c r="U32" i="2"/>
  <c r="T22" i="2"/>
  <c r="T23" i="2"/>
  <c r="T24" i="2"/>
  <c r="T25" i="2"/>
  <c r="T26" i="2"/>
  <c r="T27" i="2"/>
  <c r="T28" i="2"/>
  <c r="T29" i="2"/>
  <c r="T30" i="2"/>
  <c r="T31" i="2"/>
  <c r="T32" i="2"/>
  <c r="J24" i="3"/>
  <c r="J25" i="3"/>
  <c r="J26" i="3"/>
  <c r="J27" i="3"/>
  <c r="J28" i="3"/>
  <c r="J29" i="3"/>
  <c r="J30" i="3"/>
  <c r="J31" i="3"/>
  <c r="J32" i="3"/>
  <c r="J33" i="3"/>
  <c r="J34" i="3"/>
  <c r="J23" i="3"/>
  <c r="J8" i="3"/>
  <c r="J9" i="3"/>
  <c r="J10" i="3"/>
  <c r="J11" i="3"/>
  <c r="J12" i="3"/>
  <c r="J13" i="3"/>
  <c r="J14" i="3"/>
  <c r="J15" i="3"/>
  <c r="J16" i="3"/>
  <c r="J17" i="3"/>
  <c r="J18" i="3"/>
  <c r="J7" i="3"/>
  <c r="V4" i="2"/>
  <c r="V5" i="2"/>
  <c r="V6" i="2"/>
  <c r="V7" i="2"/>
  <c r="V8" i="2"/>
  <c r="V9" i="2"/>
  <c r="V10" i="2"/>
  <c r="V11" i="2"/>
  <c r="V12" i="2"/>
  <c r="V13" i="2"/>
  <c r="V14" i="2"/>
  <c r="V15" i="2"/>
  <c r="U5" i="2"/>
  <c r="U6" i="2"/>
  <c r="U7" i="2"/>
  <c r="U8" i="2"/>
  <c r="U9" i="2"/>
  <c r="U10" i="2"/>
  <c r="U11" i="2"/>
  <c r="U12" i="2"/>
  <c r="U13" i="2"/>
  <c r="U14" i="2"/>
  <c r="U15" i="2"/>
  <c r="U4" i="2"/>
  <c r="Z8" i="2"/>
  <c r="I4" i="2"/>
  <c r="H5" i="2"/>
  <c r="H6" i="2"/>
  <c r="H7" i="2"/>
  <c r="H8" i="2"/>
  <c r="H9" i="2"/>
  <c r="H10" i="2"/>
  <c r="H11" i="2"/>
  <c r="H12" i="2"/>
  <c r="H13" i="2"/>
  <c r="H14" i="2"/>
  <c r="H15" i="2"/>
  <c r="H4" i="2"/>
  <c r="M12" i="3"/>
  <c r="M13" i="3"/>
  <c r="M14" i="3"/>
  <c r="K24" i="3"/>
  <c r="K25" i="3"/>
  <c r="K32" i="3"/>
  <c r="K33" i="3"/>
  <c r="K34" i="3"/>
  <c r="K8" i="3"/>
  <c r="K9" i="3"/>
  <c r="K10" i="3"/>
  <c r="K26" i="3" s="1"/>
  <c r="K11" i="3"/>
  <c r="K27" i="3" s="1"/>
  <c r="K12" i="3"/>
  <c r="K28" i="3" s="1"/>
  <c r="K13" i="3"/>
  <c r="K29" i="3" s="1"/>
  <c r="K14" i="3"/>
  <c r="K30" i="3" s="1"/>
  <c r="K16" i="3"/>
  <c r="K17" i="3"/>
  <c r="K18" i="3"/>
  <c r="K7" i="3"/>
  <c r="K23" i="3" s="1"/>
  <c r="I8" i="3"/>
  <c r="I9" i="3"/>
  <c r="I10" i="3"/>
  <c r="I11" i="3"/>
  <c r="I12" i="3"/>
  <c r="I13" i="3"/>
  <c r="I14" i="3"/>
  <c r="I16" i="3"/>
  <c r="I17" i="3"/>
  <c r="I18" i="3"/>
  <c r="I7" i="3"/>
  <c r="G7" i="3"/>
  <c r="L4" i="2"/>
  <c r="B79" i="2"/>
  <c r="A79" i="2"/>
  <c r="F4" i="2"/>
  <c r="A80" i="2"/>
  <c r="B80" i="2" s="1"/>
  <c r="A81" i="2"/>
  <c r="B81" i="2"/>
  <c r="A82" i="2"/>
  <c r="B82" i="2" s="1"/>
  <c r="A83" i="2"/>
  <c r="B83" i="2" s="1"/>
  <c r="A84" i="2"/>
  <c r="L9" i="2" s="1"/>
  <c r="A85" i="2"/>
  <c r="B85" i="2"/>
  <c r="A86" i="2"/>
  <c r="L11" i="2" s="1"/>
  <c r="B86" i="2"/>
  <c r="A87" i="2"/>
  <c r="B87" i="2" s="1"/>
  <c r="A88" i="2"/>
  <c r="B88" i="2" s="1"/>
  <c r="A89" i="2"/>
  <c r="B89" i="2"/>
  <c r="A90" i="2"/>
  <c r="B90" i="2" s="1"/>
  <c r="G8" i="3"/>
  <c r="G9" i="3"/>
  <c r="G10" i="3"/>
  <c r="G11" i="3"/>
  <c r="G12" i="3"/>
  <c r="G13" i="3"/>
  <c r="G14" i="3"/>
  <c r="G15" i="3"/>
  <c r="G16" i="3"/>
  <c r="G17" i="3"/>
  <c r="G18" i="3"/>
  <c r="L5" i="2"/>
  <c r="L6" i="2"/>
  <c r="L8" i="2"/>
  <c r="L10" i="2"/>
  <c r="L13" i="2"/>
  <c r="L14" i="2"/>
  <c r="AB5" i="2"/>
  <c r="P13" i="2" s="1"/>
  <c r="E7" i="5"/>
  <c r="H8" i="3"/>
  <c r="B8" i="3" s="1"/>
  <c r="C8" i="3" s="1"/>
  <c r="H9" i="3"/>
  <c r="B9" i="3" s="1"/>
  <c r="C9" i="3" s="1"/>
  <c r="H10" i="3"/>
  <c r="N10" i="3" s="1"/>
  <c r="H11" i="3"/>
  <c r="M11" i="3" s="1"/>
  <c r="H12" i="3"/>
  <c r="H13" i="3"/>
  <c r="H14" i="3"/>
  <c r="B14" i="3" s="1"/>
  <c r="C14" i="3" s="1"/>
  <c r="H15" i="3"/>
  <c r="N15" i="3" s="1"/>
  <c r="H16" i="3"/>
  <c r="B16" i="3" s="1"/>
  <c r="C16" i="3" s="1"/>
  <c r="H17" i="3"/>
  <c r="N17" i="3" s="1"/>
  <c r="H18" i="3"/>
  <c r="N18" i="3" s="1"/>
  <c r="H7" i="3"/>
  <c r="M7" i="3" s="1"/>
  <c r="G7" i="4"/>
  <c r="G8" i="4"/>
  <c r="G9" i="4"/>
  <c r="G10" i="4"/>
  <c r="G11" i="4"/>
  <c r="G12" i="4"/>
  <c r="G13" i="4"/>
  <c r="G14" i="4"/>
  <c r="G15" i="4"/>
  <c r="G16" i="4"/>
  <c r="G17" i="4"/>
  <c r="G6" i="4"/>
  <c r="L21" i="2"/>
  <c r="F6" i="2"/>
  <c r="F10" i="2"/>
  <c r="F11" i="2"/>
  <c r="F12" i="2"/>
  <c r="I15" i="3" s="1"/>
  <c r="F13" i="2"/>
  <c r="F14" i="2"/>
  <c r="F5" i="2"/>
  <c r="F7" i="2"/>
  <c r="F8" i="2"/>
  <c r="F9" i="2"/>
  <c r="F15" i="2"/>
  <c r="L32" i="2"/>
  <c r="K32" i="2"/>
  <c r="K48" i="2" s="1"/>
  <c r="L31" i="2"/>
  <c r="K31" i="2"/>
  <c r="K47" i="2" s="1"/>
  <c r="L30" i="2"/>
  <c r="K30" i="2"/>
  <c r="K46" i="2" s="1"/>
  <c r="L29" i="2"/>
  <c r="K29" i="2"/>
  <c r="K45" i="2" s="1"/>
  <c r="L28" i="2"/>
  <c r="K28" i="2"/>
  <c r="K44" i="2" s="1"/>
  <c r="L27" i="2"/>
  <c r="K27" i="2"/>
  <c r="K43" i="2" s="1"/>
  <c r="L26" i="2"/>
  <c r="K26" i="2"/>
  <c r="K42" i="2" s="1"/>
  <c r="L25" i="2"/>
  <c r="K25" i="2"/>
  <c r="K41" i="2" s="1"/>
  <c r="L24" i="2"/>
  <c r="K24" i="2"/>
  <c r="K40" i="2" s="1"/>
  <c r="L23" i="2"/>
  <c r="K23" i="2"/>
  <c r="K39" i="2" s="1"/>
  <c r="L22" i="2"/>
  <c r="K22" i="2"/>
  <c r="K38" i="2" s="1"/>
  <c r="K21" i="2"/>
  <c r="K37" i="2" s="1"/>
  <c r="M18" i="2"/>
  <c r="D17" i="2"/>
  <c r="I15" i="2"/>
  <c r="N32" i="2" s="1"/>
  <c r="I14" i="2"/>
  <c r="N31" i="2" s="1"/>
  <c r="I13" i="2"/>
  <c r="N30" i="2" s="1"/>
  <c r="I12" i="2"/>
  <c r="I11" i="2"/>
  <c r="I10" i="2"/>
  <c r="I9" i="2"/>
  <c r="N26" i="2" s="1"/>
  <c r="I8" i="2"/>
  <c r="N25" i="2" s="1"/>
  <c r="I7" i="2"/>
  <c r="N24" i="2" s="1"/>
  <c r="I6" i="2"/>
  <c r="N23" i="2" s="1"/>
  <c r="I5" i="2"/>
  <c r="M22" i="2" s="1"/>
  <c r="N28" i="2" l="1"/>
  <c r="N27" i="2"/>
  <c r="M21" i="2"/>
  <c r="M18" i="3"/>
  <c r="M9" i="3"/>
  <c r="N7" i="3"/>
  <c r="J4" i="2" s="1"/>
  <c r="M17" i="3"/>
  <c r="M8" i="3"/>
  <c r="M10" i="3"/>
  <c r="M16" i="3"/>
  <c r="P4" i="2"/>
  <c r="J55" i="2" s="1"/>
  <c r="M29" i="2"/>
  <c r="M15" i="3"/>
  <c r="J12" i="2" s="1"/>
  <c r="L12" i="2"/>
  <c r="K15" i="3" s="1"/>
  <c r="K31" i="3" s="1"/>
  <c r="B84" i="2"/>
  <c r="L7" i="2"/>
  <c r="L15" i="2"/>
  <c r="E6" i="5"/>
  <c r="A104" i="2"/>
  <c r="A103" i="2"/>
  <c r="A100" i="2"/>
  <c r="A107" i="2"/>
  <c r="A106" i="2"/>
  <c r="A98" i="2"/>
  <c r="A102" i="2"/>
  <c r="A101" i="2"/>
  <c r="A96" i="2"/>
  <c r="A99" i="2"/>
  <c r="A105" i="2"/>
  <c r="A97" i="2"/>
  <c r="F17" i="2"/>
  <c r="J14" i="2"/>
  <c r="P7" i="2"/>
  <c r="J58" i="2" s="1"/>
  <c r="P9" i="2"/>
  <c r="J60" i="2" s="1"/>
  <c r="P5" i="2"/>
  <c r="J56" i="2" s="1"/>
  <c r="P15" i="2"/>
  <c r="J66" i="2" s="1"/>
  <c r="P6" i="2"/>
  <c r="J57" i="2" s="1"/>
  <c r="P11" i="2"/>
  <c r="J62" i="2" s="1"/>
  <c r="M62" i="2" s="1"/>
  <c r="P14" i="2"/>
  <c r="J65" i="2" s="1"/>
  <c r="P10" i="2"/>
  <c r="J61" i="2" s="1"/>
  <c r="M61" i="2" s="1"/>
  <c r="P12" i="2"/>
  <c r="J63" i="2" s="1"/>
  <c r="P8" i="2"/>
  <c r="J59" i="2" s="1"/>
  <c r="N12" i="3"/>
  <c r="J9" i="2" s="1"/>
  <c r="N16" i="3"/>
  <c r="N13" i="3"/>
  <c r="J10" i="2" s="1"/>
  <c r="B15" i="3"/>
  <c r="N8" i="3"/>
  <c r="J15" i="2"/>
  <c r="N9" i="3"/>
  <c r="B13" i="3"/>
  <c r="B12" i="3"/>
  <c r="J64" i="2"/>
  <c r="J7" i="2"/>
  <c r="B18" i="3"/>
  <c r="B10" i="3"/>
  <c r="B11" i="3"/>
  <c r="N11" i="3"/>
  <c r="J8" i="2" s="1"/>
  <c r="B17" i="3"/>
  <c r="B7" i="3"/>
  <c r="N14" i="3"/>
  <c r="N29" i="2"/>
  <c r="O29" i="2" s="1"/>
  <c r="M30" i="2"/>
  <c r="O30" i="2" s="1"/>
  <c r="N21" i="2"/>
  <c r="N22" i="2"/>
  <c r="O22" i="2" s="1"/>
  <c r="M23" i="2"/>
  <c r="M31" i="2"/>
  <c r="M24" i="2"/>
  <c r="M32" i="2"/>
  <c r="M25" i="2"/>
  <c r="M26" i="2"/>
  <c r="M27" i="2"/>
  <c r="M28" i="2"/>
  <c r="E11" i="5" l="1"/>
  <c r="H6" i="5" s="1"/>
  <c r="C11" i="3"/>
  <c r="C7" i="3"/>
  <c r="C13" i="3"/>
  <c r="C10" i="3"/>
  <c r="C18" i="3"/>
  <c r="C17" i="3"/>
  <c r="C15" i="3"/>
  <c r="C12" i="3"/>
  <c r="J11" i="2"/>
  <c r="J6" i="2"/>
  <c r="N18" i="2"/>
  <c r="P16" i="2"/>
  <c r="K62" i="2"/>
  <c r="L62" i="2" s="1"/>
  <c r="K61" i="2"/>
  <c r="L61" i="2" s="1"/>
  <c r="K60" i="2"/>
  <c r="L60" i="2" s="1"/>
  <c r="M60" i="2"/>
  <c r="M64" i="2"/>
  <c r="K64" i="2"/>
  <c r="L64" i="2" s="1"/>
  <c r="M58" i="2"/>
  <c r="K58" i="2"/>
  <c r="L58" i="2" s="1"/>
  <c r="M66" i="2"/>
  <c r="K66" i="2"/>
  <c r="L66" i="2" s="1"/>
  <c r="K59" i="2"/>
  <c r="L59" i="2" s="1"/>
  <c r="M59" i="2"/>
  <c r="K63" i="2"/>
  <c r="L63" i="2" s="1"/>
  <c r="M63" i="2"/>
  <c r="K55" i="2"/>
  <c r="L55" i="2" s="1"/>
  <c r="M55" i="2"/>
  <c r="M57" i="2"/>
  <c r="K57" i="2"/>
  <c r="L57" i="2" s="1"/>
  <c r="M56" i="2"/>
  <c r="K56" i="2"/>
  <c r="L56" i="2" s="1"/>
  <c r="M65" i="2"/>
  <c r="K65" i="2"/>
  <c r="L65" i="2" s="1"/>
  <c r="P29" i="2"/>
  <c r="Q29" i="2" s="1"/>
  <c r="R29" i="2" s="1"/>
  <c r="I14" i="4" s="1"/>
  <c r="O23" i="2"/>
  <c r="O27" i="2"/>
  <c r="P27" i="2" s="1"/>
  <c r="O31" i="2"/>
  <c r="P31" i="2" s="1"/>
  <c r="O28" i="2"/>
  <c r="O21" i="2"/>
  <c r="P21" i="2" s="1"/>
  <c r="O26" i="2"/>
  <c r="P26" i="2" s="1"/>
  <c r="O25" i="2"/>
  <c r="P25" i="2" s="1"/>
  <c r="O32" i="2"/>
  <c r="P32" i="2" s="1"/>
  <c r="O24" i="2"/>
  <c r="P24" i="2" s="1"/>
  <c r="J13" i="2" l="1"/>
  <c r="P30" i="2" s="1"/>
  <c r="Q30" i="2" s="1"/>
  <c r="R30" i="2" s="1"/>
  <c r="I15" i="4" s="1"/>
  <c r="J5" i="2"/>
  <c r="P22" i="2" s="1"/>
  <c r="Q22" i="2" s="1"/>
  <c r="R22" i="2" s="1"/>
  <c r="I7" i="4" s="1"/>
  <c r="P23" i="2"/>
  <c r="Q23" i="2" s="1"/>
  <c r="R23" i="2" s="1"/>
  <c r="I8" i="4" s="1"/>
  <c r="P28" i="2"/>
  <c r="Q28" i="2" s="1"/>
  <c r="R28" i="2" s="1"/>
  <c r="I13" i="4" s="1"/>
  <c r="L67" i="2"/>
  <c r="Q21" i="2"/>
  <c r="Q27" i="2"/>
  <c r="R27" i="2" s="1"/>
  <c r="I12" i="4" s="1"/>
  <c r="Q24" i="2"/>
  <c r="R24" i="2" s="1"/>
  <c r="I9" i="4" s="1"/>
  <c r="Q32" i="2"/>
  <c r="R32" i="2" s="1"/>
  <c r="I17" i="4" s="1"/>
  <c r="Q31" i="2"/>
  <c r="R31" i="2" s="1"/>
  <c r="I16" i="4" s="1"/>
  <c r="Q26" i="2"/>
  <c r="R26" i="2" s="1"/>
  <c r="I11" i="4" s="1"/>
  <c r="Q25" i="2"/>
  <c r="N56" i="2" l="1"/>
  <c r="N57" i="2" s="1"/>
  <c r="N55" i="2"/>
  <c r="R21" i="2"/>
  <c r="I6" i="4" s="1"/>
  <c r="Q33" i="2"/>
  <c r="R33" i="2" s="1"/>
  <c r="R25" i="2"/>
  <c r="I10" i="4" s="1"/>
  <c r="P55" i="2" l="1"/>
  <c r="O56" i="2"/>
  <c r="Q56" i="2" s="1"/>
  <c r="Q5" i="2" s="1"/>
  <c r="R5" i="2" s="1"/>
  <c r="I24" i="3" s="1"/>
  <c r="O55" i="2"/>
  <c r="Q55" i="2" s="1"/>
  <c r="Q4" i="2" s="1"/>
  <c r="P56" i="2"/>
  <c r="N58" i="2"/>
  <c r="O57" i="2"/>
  <c r="Q57" i="2" s="1"/>
  <c r="Q6" i="2" s="1"/>
  <c r="R6" i="2" s="1"/>
  <c r="I25" i="3" s="1"/>
  <c r="R4" i="2" l="1"/>
  <c r="G25" i="3"/>
  <c r="W6" i="2"/>
  <c r="T40" i="2" s="1"/>
  <c r="M39" i="2" s="1"/>
  <c r="L39" i="2"/>
  <c r="G24" i="3"/>
  <c r="L38" i="2"/>
  <c r="W5" i="2"/>
  <c r="P57" i="2"/>
  <c r="N59" i="2"/>
  <c r="O58" i="2"/>
  <c r="Q58" i="2" s="1"/>
  <c r="Q7" i="2" s="1"/>
  <c r="R7" i="2" s="1"/>
  <c r="I26" i="3" s="1"/>
  <c r="D8" i="3" l="1"/>
  <c r="I23" i="3"/>
  <c r="H24" i="3"/>
  <c r="H25" i="3"/>
  <c r="N25" i="3" s="1"/>
  <c r="W4" i="2"/>
  <c r="N37" i="2" s="1"/>
  <c r="Q17" i="2"/>
  <c r="L37" i="2"/>
  <c r="G23" i="3"/>
  <c r="H23" i="3" s="1"/>
  <c r="U40" i="2"/>
  <c r="N39" i="2" s="1"/>
  <c r="O39" i="2" s="1"/>
  <c r="W7" i="2"/>
  <c r="T41" i="2" s="1"/>
  <c r="M40" i="2" s="1"/>
  <c r="G26" i="3"/>
  <c r="L40" i="2"/>
  <c r="U39" i="2"/>
  <c r="N38" i="2" s="1"/>
  <c r="T39" i="2"/>
  <c r="M38" i="2" s="1"/>
  <c r="N60" i="2"/>
  <c r="P58" i="2"/>
  <c r="O59" i="2"/>
  <c r="Q59" i="2" s="1"/>
  <c r="Q8" i="2" s="1"/>
  <c r="M23" i="3" l="1"/>
  <c r="L41" i="2"/>
  <c r="R8" i="2"/>
  <c r="I27" i="3" s="1"/>
  <c r="S5" i="2"/>
  <c r="M24" i="3"/>
  <c r="N24" i="3"/>
  <c r="T5" i="2" s="1"/>
  <c r="M37" i="2"/>
  <c r="S6" i="2"/>
  <c r="D27" i="3"/>
  <c r="D24" i="3"/>
  <c r="H26" i="3"/>
  <c r="M26" i="3" s="1"/>
  <c r="M25" i="3"/>
  <c r="T6" i="2" s="1"/>
  <c r="P39" i="2" s="1"/>
  <c r="Q39" i="2" s="1"/>
  <c r="R39" i="2" s="1"/>
  <c r="W8" i="2"/>
  <c r="U42" i="2" s="1"/>
  <c r="N41" i="2" s="1"/>
  <c r="U41" i="2"/>
  <c r="N40" i="2" s="1"/>
  <c r="O40" i="2" s="1"/>
  <c r="O38" i="2"/>
  <c r="G27" i="3"/>
  <c r="O60" i="2"/>
  <c r="Q60" i="2" s="1"/>
  <c r="P59" i="2"/>
  <c r="N61" i="2"/>
  <c r="O37" i="2" l="1"/>
  <c r="N26" i="3"/>
  <c r="T7" i="2" s="1"/>
  <c r="P40" i="2" s="1"/>
  <c r="Q40" i="2" s="1"/>
  <c r="R40" i="2" s="1"/>
  <c r="S4" i="2"/>
  <c r="S7" i="2"/>
  <c r="H27" i="3"/>
  <c r="J8" i="4"/>
  <c r="K8" i="4" s="1"/>
  <c r="T42" i="2"/>
  <c r="M41" i="2" s="1"/>
  <c r="O41" i="2" s="1"/>
  <c r="P38" i="2"/>
  <c r="Q38" i="2" s="1"/>
  <c r="R38" i="2" s="1"/>
  <c r="Q9" i="2"/>
  <c r="R9" i="2" s="1"/>
  <c r="I28" i="3" s="1"/>
  <c r="O61" i="2"/>
  <c r="Q61" i="2" s="1"/>
  <c r="Q10" i="2" s="1"/>
  <c r="R10" i="2" s="1"/>
  <c r="I29" i="3" s="1"/>
  <c r="N62" i="2"/>
  <c r="P60" i="2"/>
  <c r="N23" i="3" l="1"/>
  <c r="M27" i="3"/>
  <c r="N27" i="3"/>
  <c r="S8" i="2"/>
  <c r="J9" i="4"/>
  <c r="K9" i="4" s="1"/>
  <c r="J7" i="4"/>
  <c r="K7" i="4" s="1"/>
  <c r="G29" i="3"/>
  <c r="W10" i="2"/>
  <c r="L43" i="2"/>
  <c r="W9" i="2"/>
  <c r="G28" i="3"/>
  <c r="L42" i="2"/>
  <c r="O62" i="2"/>
  <c r="Q62" i="2" s="1"/>
  <c r="Q11" i="2" s="1"/>
  <c r="R11" i="2" s="1"/>
  <c r="I30" i="3" s="1"/>
  <c r="N63" i="2"/>
  <c r="P61" i="2"/>
  <c r="T8" i="2" l="1"/>
  <c r="P41" i="2" s="1"/>
  <c r="Q41" i="2" s="1"/>
  <c r="R41" i="2" s="1"/>
  <c r="T4" i="2"/>
  <c r="H29" i="3"/>
  <c r="H28" i="3"/>
  <c r="U43" i="2"/>
  <c r="N42" i="2" s="1"/>
  <c r="T43" i="2"/>
  <c r="M42" i="2" s="1"/>
  <c r="L44" i="2"/>
  <c r="W11" i="2"/>
  <c r="G30" i="3"/>
  <c r="T44" i="2"/>
  <c r="M43" i="2" s="1"/>
  <c r="U44" i="2"/>
  <c r="N43" i="2" s="1"/>
  <c r="P62" i="2"/>
  <c r="O63" i="2"/>
  <c r="Q63" i="2" s="1"/>
  <c r="N64" i="2"/>
  <c r="J10" i="4" l="1"/>
  <c r="K10" i="4" s="1"/>
  <c r="P37" i="2"/>
  <c r="S10" i="2"/>
  <c r="M29" i="3"/>
  <c r="N29" i="3"/>
  <c r="N28" i="3"/>
  <c r="M28" i="3"/>
  <c r="S9" i="2"/>
  <c r="H30" i="3"/>
  <c r="S11" i="2" s="1"/>
  <c r="O42" i="2"/>
  <c r="O43" i="2"/>
  <c r="Q12" i="2"/>
  <c r="R12" i="2" s="1"/>
  <c r="I31" i="3" s="1"/>
  <c r="U45" i="2"/>
  <c r="N44" i="2" s="1"/>
  <c r="T45" i="2"/>
  <c r="M44" i="2" s="1"/>
  <c r="N65" i="2"/>
  <c r="P63" i="2"/>
  <c r="O64" i="2"/>
  <c r="Q64" i="2" s="1"/>
  <c r="Q13" i="2" s="1"/>
  <c r="R13" i="2" s="1"/>
  <c r="I32" i="3" s="1"/>
  <c r="Q37" i="2" l="1"/>
  <c r="R37" i="2" s="1"/>
  <c r="J6" i="4" s="1"/>
  <c r="K6" i="4" s="1"/>
  <c r="T9" i="2"/>
  <c r="P42" i="2" s="1"/>
  <c r="Q42" i="2" s="1"/>
  <c r="R42" i="2" s="1"/>
  <c r="T10" i="2"/>
  <c r="P43" i="2" s="1"/>
  <c r="Q43" i="2" s="1"/>
  <c r="R43" i="2" s="1"/>
  <c r="M30" i="3"/>
  <c r="N30" i="3"/>
  <c r="O44" i="2"/>
  <c r="G32" i="3"/>
  <c r="L46" i="2"/>
  <c r="W13" i="2"/>
  <c r="L45" i="2"/>
  <c r="W12" i="2"/>
  <c r="G31" i="3"/>
  <c r="N66" i="2"/>
  <c r="P64" i="2"/>
  <c r="O65" i="2"/>
  <c r="Q65" i="2" s="1"/>
  <c r="Q14" i="2" s="1"/>
  <c r="R14" i="2" s="1"/>
  <c r="I33" i="3" s="1"/>
  <c r="T11" i="2" l="1"/>
  <c r="P44" i="2" s="1"/>
  <c r="Q44" i="2" s="1"/>
  <c r="R44" i="2" s="1"/>
  <c r="H32" i="3"/>
  <c r="H31" i="3"/>
  <c r="J11" i="4"/>
  <c r="J12" i="4"/>
  <c r="U46" i="2"/>
  <c r="N45" i="2" s="1"/>
  <c r="T46" i="2"/>
  <c r="M45" i="2" s="1"/>
  <c r="W14" i="2"/>
  <c r="G33" i="3"/>
  <c r="L47" i="2"/>
  <c r="U47" i="2"/>
  <c r="N46" i="2" s="1"/>
  <c r="T47" i="2"/>
  <c r="M46" i="2" s="1"/>
  <c r="N67" i="2"/>
  <c r="P65" i="2"/>
  <c r="O66" i="2"/>
  <c r="Q66" i="2" s="1"/>
  <c r="J13" i="4" l="1"/>
  <c r="K13" i="4" s="1"/>
  <c r="N32" i="3"/>
  <c r="S13" i="2"/>
  <c r="M32" i="3"/>
  <c r="T13" i="2" s="1"/>
  <c r="M31" i="3"/>
  <c r="N31" i="3"/>
  <c r="S12" i="2"/>
  <c r="H33" i="3"/>
  <c r="K12" i="4"/>
  <c r="K11" i="4"/>
  <c r="O46" i="2"/>
  <c r="O45" i="2"/>
  <c r="Q15" i="2"/>
  <c r="R15" i="2" s="1"/>
  <c r="I34" i="3" s="1"/>
  <c r="Q67" i="2"/>
  <c r="U48" i="2"/>
  <c r="N47" i="2" s="1"/>
  <c r="T48" i="2"/>
  <c r="M47" i="2" s="1"/>
  <c r="O67" i="2"/>
  <c r="P66" i="2"/>
  <c r="T12" i="2" l="1"/>
  <c r="P45" i="2" s="1"/>
  <c r="Q45" i="2" s="1"/>
  <c r="R45" i="2" s="1"/>
  <c r="N33" i="3"/>
  <c r="S14" i="2"/>
  <c r="M33" i="3"/>
  <c r="P46" i="2"/>
  <c r="Q46" i="2" s="1"/>
  <c r="R46" i="2" s="1"/>
  <c r="O47" i="2"/>
  <c r="L48" i="2"/>
  <c r="W15" i="2"/>
  <c r="G34" i="3"/>
  <c r="T14" i="2" l="1"/>
  <c r="P47" i="2" s="1"/>
  <c r="Q47" i="2" s="1"/>
  <c r="R47" i="2" s="1"/>
  <c r="H34" i="3"/>
  <c r="J15" i="4"/>
  <c r="K15" i="4" s="1"/>
  <c r="J14" i="4"/>
  <c r="U49" i="2"/>
  <c r="N48" i="2" s="1"/>
  <c r="T49" i="2"/>
  <c r="M48" i="2" s="1"/>
  <c r="S15" i="2" l="1"/>
  <c r="M34" i="3"/>
  <c r="N34" i="3"/>
  <c r="J16" i="4"/>
  <c r="K16" i="4" s="1"/>
  <c r="K14" i="4"/>
  <c r="O48" i="2"/>
  <c r="T15" i="2" l="1"/>
  <c r="P48" i="2" s="1"/>
  <c r="Q48" i="2" s="1"/>
  <c r="R48" i="2" s="1"/>
  <c r="P49" i="2" l="1"/>
  <c r="J17" i="4"/>
  <c r="Q49" i="2"/>
  <c r="R49" i="2" s="1"/>
  <c r="R50" i="2" l="1"/>
  <c r="K17" i="4"/>
  <c r="K18" i="4" s="1"/>
  <c r="H4" i="6" l="1"/>
  <c r="I4" i="6" l="1"/>
  <c r="H5" i="6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I5" i="6" l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</calcChain>
</file>

<file path=xl/sharedStrings.xml><?xml version="1.0" encoding="utf-8"?>
<sst xmlns="http://schemas.openxmlformats.org/spreadsheetml/2006/main" count="208" uniqueCount="110">
  <si>
    <t>ENERO</t>
  </si>
  <si>
    <t>FEBRERO</t>
  </si>
  <si>
    <t xml:space="preserve">MARZO </t>
  </si>
  <si>
    <t>ABRIL</t>
  </si>
  <si>
    <t xml:space="preserve">MAYO </t>
  </si>
  <si>
    <t>JUNIO</t>
  </si>
  <si>
    <t>JULIO</t>
  </si>
  <si>
    <t>AGOSTO</t>
  </si>
  <si>
    <t>SEPTIEMBRE</t>
  </si>
  <si>
    <t xml:space="preserve">OCTUBRE </t>
  </si>
  <si>
    <t>NOVIEMBRE</t>
  </si>
  <si>
    <t>DICIEMBRE</t>
  </si>
  <si>
    <t>CONSUMO (KWH)</t>
  </si>
  <si>
    <t>HSP</t>
  </si>
  <si>
    <t>ESTUDIO FV</t>
  </si>
  <si>
    <t xml:space="preserve">EFICIENCIA </t>
  </si>
  <si>
    <t>TOTAL</t>
  </si>
  <si>
    <t>POTENCIA REQUERIDA (KWP)</t>
  </si>
  <si>
    <t>POTENCIA A INSTALAR (KWP)</t>
  </si>
  <si>
    <t>ENERGÍA GENERADA</t>
  </si>
  <si>
    <t>DÍAS DEL MES</t>
  </si>
  <si>
    <t>FIJO ($)</t>
  </si>
  <si>
    <t>DISTRIBUCIÓN ($/KW)</t>
  </si>
  <si>
    <t>CAPACIDAD ($/KW)</t>
  </si>
  <si>
    <t>DEMANDA MÁXIMA MENSUAL</t>
  </si>
  <si>
    <t>DEMANDA MÁXIMA EN PUNTA</t>
  </si>
  <si>
    <t>DEMANDA ENERGIZADA</t>
  </si>
  <si>
    <t xml:space="preserve">FACTOR DE CARGA </t>
  </si>
  <si>
    <t xml:space="preserve">DISTRIBUCIÓN </t>
  </si>
  <si>
    <t xml:space="preserve">CAPACIDAD </t>
  </si>
  <si>
    <t>MULTIPLICADORES</t>
  </si>
  <si>
    <t>TOTAL + IVA</t>
  </si>
  <si>
    <t xml:space="preserve"> HSP PROMEDIO ANUAL </t>
  </si>
  <si>
    <t>CONSUMO NUEVO (KWH)</t>
  </si>
  <si>
    <t>ENERGÍA ($/KWH)</t>
  </si>
  <si>
    <t>ENERGIA ($/KWH)</t>
  </si>
  <si>
    <t>CARGO POR BAJA TENSIÓN  (2%)</t>
  </si>
  <si>
    <t>FACTOR DE POTENCIA</t>
  </si>
  <si>
    <t>CONSUMO (KVAH)</t>
  </si>
  <si>
    <t xml:space="preserve">CARGO FACTOR DE POTENCIA </t>
  </si>
  <si>
    <t>CARGO BAJA TENSIÓN(2%)</t>
  </si>
  <si>
    <t>CONSUMO NUEVO (KVAH)</t>
  </si>
  <si>
    <t>FACTOR DE POTENCIA NUEVO</t>
  </si>
  <si>
    <t>RECARGO POR NUEVO FACTOR DE POTENCIA</t>
  </si>
  <si>
    <t>RECARGO FP</t>
  </si>
  <si>
    <t>BONIFICACIÓN FP</t>
  </si>
  <si>
    <t>RECARGO/BONIFICACIÓN FACTOR DE POTENCIA</t>
  </si>
  <si>
    <t>CONSUMO CON FV (KWH)</t>
  </si>
  <si>
    <t>FACTOR DE POTENCIA CON FV</t>
  </si>
  <si>
    <t>BAJA TENSION (2%)</t>
  </si>
  <si>
    <t xml:space="preserve">Mes </t>
  </si>
  <si>
    <t>Consumo histórico (kWh)</t>
  </si>
  <si>
    <t>Energía generada por el sistema (kWh)</t>
  </si>
  <si>
    <t>Pago histórico ($)</t>
  </si>
  <si>
    <t>Pago nuevo ($)</t>
  </si>
  <si>
    <t>Ahorro por periodo ($)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</si>
  <si>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</si>
  <si>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</si>
  <si>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</si>
  <si>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</si>
  <si>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</si>
  <si>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</si>
  <si>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</si>
  <si>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</si>
  <si>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</si>
  <si>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</si>
  <si>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</si>
  <si>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</si>
  <si>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Ahorro anual </t>
  </si>
  <si>
    <t>AÑO</t>
  </si>
  <si>
    <t xml:space="preserve">AHORRO </t>
  </si>
  <si>
    <t>INFLACIÓN ANUAL (5%)</t>
  </si>
  <si>
    <t>AHORRO ACUMULADO</t>
  </si>
  <si>
    <t xml:space="preserve">Descripción </t>
  </si>
  <si>
    <t xml:space="preserve">Tamaño del sistema </t>
  </si>
  <si>
    <t>Subtotal (MXN)</t>
  </si>
  <si>
    <t>IVA (MXN)</t>
  </si>
  <si>
    <t>TOTAL (MXN)</t>
  </si>
  <si>
    <t>Precio dólar/ watt (18.945)</t>
  </si>
  <si>
    <t xml:space="preserve">Total </t>
  </si>
  <si>
    <t>TIPO DE CAMBIO</t>
  </si>
  <si>
    <t>W</t>
  </si>
  <si>
    <t>Precio (USD)</t>
  </si>
  <si>
    <t>USD</t>
  </si>
  <si>
    <t>RECARGO / BONIFICACIÓN FACTOR DE POTENCIA</t>
  </si>
  <si>
    <t>KVArh</t>
  </si>
  <si>
    <t>CON FOTOVOLTAICO</t>
  </si>
  <si>
    <t>Enero</t>
  </si>
  <si>
    <t>Balance</t>
  </si>
  <si>
    <t xml:space="preserve">A favor </t>
  </si>
  <si>
    <t>En contra</t>
  </si>
  <si>
    <t>Restante</t>
  </si>
  <si>
    <t xml:space="preserve">Restante final </t>
  </si>
  <si>
    <t xml:space="preserve">Contraprestación: No modificar </t>
  </si>
  <si>
    <t xml:space="preserve">Consumo final </t>
  </si>
  <si>
    <t>Potencia del panel (W)</t>
  </si>
  <si>
    <t xml:space="preserve">Número de paneles </t>
  </si>
  <si>
    <t>Costo USD / Watt</t>
  </si>
  <si>
    <t>Retorno de inversión</t>
  </si>
  <si>
    <t xml:space="preserve">años </t>
  </si>
  <si>
    <t xml:space="preserve">COSTO SFV </t>
  </si>
  <si>
    <t>Introducir dato de consumo por mes en kWh</t>
  </si>
  <si>
    <t xml:space="preserve">Introducir dato de factor de potencia por mesen (%) </t>
  </si>
  <si>
    <t xml:space="preserve">Introducir demanda máxima mensual obtenida del recibo </t>
  </si>
  <si>
    <t>Factor de carga obtenido en el acuerdo único A/064 2018</t>
  </si>
  <si>
    <t xml:space="preserve">Obtener datos de HSP de plataforma de la NASA </t>
  </si>
  <si>
    <t xml:space="preserve">Actualizar costos a localidad de la instalación </t>
  </si>
  <si>
    <t xml:space="preserve">Eficiencia ponderada para SFV interconectado </t>
  </si>
  <si>
    <t>Elegir potencia del panel (W)</t>
  </si>
  <si>
    <t xml:space="preserve">Elegir cantidad de paneles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</si>
</sst>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b/>
      <i/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70C0"/>
      </right>
      <top style="thin">
        <color theme="0"/>
      </top>
      <bottom style="thin">
        <color theme="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0070C0"/>
      </right>
      <top/>
      <bottom style="thin">
        <color theme="0"/>
      </bottom>
      <diagonal/>
    </border>
    <border>
      <left style="thin">
        <color rgb="FF0070C0"/>
      </left>
      <right/>
      <top style="thin">
        <color rgb="FF0070C0"/>
      </top>
      <bottom style="medium">
        <color rgb="FF0070C0"/>
      </bottom>
      <diagonal/>
    </border>
    <border>
      <left/>
      <right/>
      <top style="thin">
        <color rgb="FF0070C0"/>
      </top>
      <bottom style="medium">
        <color rgb="FF0070C0"/>
      </bottom>
      <diagonal/>
    </border>
    <border>
      <left/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249977111117893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medium">
        <color theme="0" tint="-0.34998626667073579"/>
      </bottom>
      <diagonal/>
    </border>
    <border>
      <left/>
      <right/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indexed="64"/>
      </right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indexed="64"/>
      </top>
      <bottom/>
      <diagonal/>
    </border>
    <border>
      <left style="medium">
        <color theme="0" tint="-0.34998626667073579"/>
      </left>
      <right/>
      <top/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7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44" fontId="0" fillId="0" borderId="1" xfId="1" applyFont="1" applyBorder="1"/>
    <xf numFmtId="0" fontId="0" fillId="6" borderId="2" xfId="0" applyFill="1" applyBorder="1"/>
    <xf numFmtId="0" fontId="0" fillId="6" borderId="3" xfId="0" applyFill="1" applyBorder="1"/>
    <xf numFmtId="44" fontId="0" fillId="0" borderId="1" xfId="0" applyNumberFormat="1" applyBorder="1"/>
    <xf numFmtId="44" fontId="0" fillId="0" borderId="0" xfId="0" applyNumberFormat="1"/>
    <xf numFmtId="0" fontId="0" fillId="0" borderId="0" xfId="0" applyAlignment="1">
      <alignment wrapText="1"/>
    </xf>
    <xf numFmtId="0" fontId="3" fillId="7" borderId="0" xfId="0" applyFont="1" applyFill="1"/>
    <xf numFmtId="0" fontId="3" fillId="7" borderId="0" xfId="0" applyFont="1" applyFill="1" applyAlignment="1">
      <alignment wrapText="1"/>
    </xf>
    <xf numFmtId="44" fontId="0" fillId="0" borderId="0" xfId="1" applyFont="1" applyBorder="1"/>
    <xf numFmtId="0" fontId="0" fillId="0" borderId="5" xfId="0" applyBorder="1"/>
    <xf numFmtId="44" fontId="0" fillId="0" borderId="5" xfId="0" applyNumberFormat="1" applyBorder="1"/>
    <xf numFmtId="44" fontId="0" fillId="0" borderId="5" xfId="1" applyFont="1" applyBorder="1"/>
    <xf numFmtId="0" fontId="0" fillId="0" borderId="6" xfId="0" applyBorder="1"/>
    <xf numFmtId="0" fontId="0" fillId="8" borderId="0" xfId="0" applyFill="1"/>
    <xf numFmtId="44" fontId="0" fillId="8" borderId="0" xfId="0" applyNumberFormat="1" applyFill="1"/>
    <xf numFmtId="44" fontId="0" fillId="8" borderId="0" xfId="1" applyFont="1" applyFill="1" applyBorder="1"/>
    <xf numFmtId="0" fontId="0" fillId="0" borderId="5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4" borderId="20" xfId="0" applyFill="1" applyBorder="1" applyAlignment="1">
      <alignment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2" borderId="25" xfId="0" applyFill="1" applyBorder="1"/>
    <xf numFmtId="44" fontId="0" fillId="0" borderId="25" xfId="0" applyNumberFormat="1" applyBorder="1"/>
    <xf numFmtId="44" fontId="0" fillId="0" borderId="25" xfId="1" applyFont="1" applyBorder="1"/>
    <xf numFmtId="44" fontId="2" fillId="5" borderId="25" xfId="1" applyFont="1" applyFill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5" fillId="0" borderId="22" xfId="0" applyFont="1" applyBorder="1"/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6" fillId="0" borderId="22" xfId="0" applyFont="1" applyBorder="1"/>
    <xf numFmtId="0" fontId="0" fillId="9" borderId="24" xfId="0" applyFill="1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0" fillId="9" borderId="0" xfId="0" applyFill="1" applyAlignment="1">
      <alignment horizontal="center"/>
    </xf>
    <xf numFmtId="0" fontId="0" fillId="9" borderId="0" xfId="0" applyFill="1"/>
    <xf numFmtId="0" fontId="0" fillId="9" borderId="30" xfId="0" applyFill="1" applyBorder="1"/>
    <xf numFmtId="0" fontId="0" fillId="3" borderId="30" xfId="0" applyFill="1" applyBorder="1" applyAlignment="1">
      <alignment wrapText="1"/>
    </xf>
    <xf numFmtId="0" fontId="0" fillId="9" borderId="1" xfId="0" applyFill="1" applyBorder="1"/>
    <xf numFmtId="0" fontId="0" fillId="4" borderId="33" xfId="0" applyFill="1" applyBorder="1"/>
    <xf numFmtId="0" fontId="7" fillId="0" borderId="0" xfId="0" applyFont="1"/>
    <xf numFmtId="0" fontId="9" fillId="0" borderId="0" xfId="0" applyFont="1"/>
    <xf numFmtId="0" fontId="0" fillId="0" borderId="5" xfId="0" applyBorder="1" applyAlignment="1">
      <alignment horizontal="center"/>
    </xf>
    <xf numFmtId="44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34" xfId="0" applyBorder="1"/>
    <xf numFmtId="0" fontId="0" fillId="2" borderId="34" xfId="0" applyFill="1" applyBorder="1"/>
    <xf numFmtId="44" fontId="0" fillId="0" borderId="34" xfId="1" applyFont="1" applyBorder="1"/>
    <xf numFmtId="44" fontId="0" fillId="0" borderId="34" xfId="0" applyNumberFormat="1" applyBorder="1"/>
    <xf numFmtId="0" fontId="0" fillId="0" borderId="35" xfId="0" applyBorder="1"/>
    <xf numFmtId="0" fontId="0" fillId="0" borderId="36" xfId="0" applyBorder="1"/>
    <xf numFmtId="0" fontId="0" fillId="9" borderId="37" xfId="0" applyFill="1" applyBorder="1"/>
    <xf numFmtId="0" fontId="0" fillId="9" borderId="37" xfId="0" applyFill="1" applyBorder="1" applyAlignment="1">
      <alignment wrapText="1"/>
    </xf>
    <xf numFmtId="0" fontId="0" fillId="0" borderId="37" xfId="0" applyBorder="1"/>
    <xf numFmtId="44" fontId="0" fillId="0" borderId="37" xfId="0" applyNumberFormat="1" applyBorder="1"/>
    <xf numFmtId="0" fontId="0" fillId="0" borderId="38" xfId="0" applyBorder="1"/>
    <xf numFmtId="44" fontId="0" fillId="9" borderId="26" xfId="0" applyNumberFormat="1" applyFill="1" applyBorder="1"/>
    <xf numFmtId="0" fontId="0" fillId="4" borderId="32" xfId="0" applyFill="1" applyBorder="1" applyAlignment="1">
      <alignment wrapText="1"/>
    </xf>
    <xf numFmtId="0" fontId="0" fillId="4" borderId="0" xfId="0" applyFill="1"/>
    <xf numFmtId="0" fontId="0" fillId="0" borderId="4" xfId="0" applyBorder="1"/>
    <xf numFmtId="44" fontId="0" fillId="0" borderId="39" xfId="0" applyNumberFormat="1" applyBorder="1"/>
    <xf numFmtId="44" fontId="0" fillId="5" borderId="40" xfId="0" applyNumberFormat="1" applyFill="1" applyBorder="1"/>
    <xf numFmtId="44" fontId="2" fillId="5" borderId="41" xfId="0" applyNumberFormat="1" applyFont="1" applyFill="1" applyBorder="1"/>
    <xf numFmtId="0" fontId="11" fillId="8" borderId="42" xfId="0" applyFont="1" applyFill="1" applyBorder="1" applyAlignment="1">
      <alignment wrapText="1"/>
    </xf>
    <xf numFmtId="0" fontId="0" fillId="2" borderId="44" xfId="0" applyFill="1" applyBorder="1"/>
    <xf numFmtId="0" fontId="0" fillId="2" borderId="45" xfId="0" applyFill="1" applyBorder="1"/>
    <xf numFmtId="0" fontId="0" fillId="2" borderId="46" xfId="0" applyFill="1" applyBorder="1"/>
    <xf numFmtId="0" fontId="0" fillId="4" borderId="47" xfId="0" applyFill="1" applyBorder="1"/>
    <xf numFmtId="0" fontId="0" fillId="0" borderId="48" xfId="0" applyBorder="1"/>
    <xf numFmtId="0" fontId="0" fillId="4" borderId="49" xfId="0" applyFill="1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2" borderId="54" xfId="0" applyFill="1" applyBorder="1"/>
    <xf numFmtId="0" fontId="0" fillId="2" borderId="45" xfId="0" applyFill="1" applyBorder="1" applyAlignment="1">
      <alignment wrapText="1"/>
    </xf>
    <xf numFmtId="0" fontId="0" fillId="2" borderId="55" xfId="0" applyFill="1" applyBorder="1" applyAlignment="1">
      <alignment wrapText="1"/>
    </xf>
    <xf numFmtId="0" fontId="0" fillId="2" borderId="56" xfId="0" applyFill="1" applyBorder="1"/>
    <xf numFmtId="0" fontId="0" fillId="3" borderId="46" xfId="0" applyFill="1" applyBorder="1"/>
    <xf numFmtId="0" fontId="0" fillId="2" borderId="57" xfId="0" applyFill="1" applyBorder="1"/>
    <xf numFmtId="0" fontId="0" fillId="2" borderId="58" xfId="0" applyFill="1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2" borderId="47" xfId="0" applyFill="1" applyBorder="1"/>
    <xf numFmtId="0" fontId="0" fillId="2" borderId="49" xfId="0" applyFill="1" applyBorder="1"/>
    <xf numFmtId="0" fontId="0" fillId="10" borderId="62" xfId="0" applyFill="1" applyBorder="1"/>
    <xf numFmtId="0" fontId="0" fillId="10" borderId="63" xfId="0" applyFill="1" applyBorder="1"/>
    <xf numFmtId="0" fontId="0" fillId="10" borderId="64" xfId="0" applyFill="1" applyBorder="1"/>
    <xf numFmtId="0" fontId="11" fillId="10" borderId="63" xfId="0" applyFont="1" applyFill="1" applyBorder="1"/>
    <xf numFmtId="44" fontId="0" fillId="5" borderId="3" xfId="0" applyNumberFormat="1" applyFill="1" applyBorder="1"/>
    <xf numFmtId="44" fontId="0" fillId="0" borderId="42" xfId="0" applyNumberFormat="1" applyBorder="1"/>
    <xf numFmtId="44" fontId="0" fillId="5" borderId="43" xfId="0" applyNumberFormat="1" applyFill="1" applyBorder="1"/>
    <xf numFmtId="43" fontId="0" fillId="0" borderId="5" xfId="1" applyNumberFormat="1" applyFont="1" applyBorder="1"/>
    <xf numFmtId="43" fontId="0" fillId="4" borderId="5" xfId="0" applyNumberFormat="1" applyFill="1" applyBorder="1"/>
    <xf numFmtId="0" fontId="0" fillId="4" borderId="5" xfId="0" applyFill="1" applyBorder="1" applyAlignment="1">
      <alignment horizontal="right"/>
    </xf>
    <xf numFmtId="0" fontId="11" fillId="10" borderId="43" xfId="0" applyFont="1" applyFill="1" applyBorder="1" applyAlignment="1">
      <alignment wrapText="1"/>
    </xf>
    <xf numFmtId="0" fontId="0" fillId="5" borderId="65" xfId="0" applyFill="1" applyBorder="1"/>
    <xf numFmtId="0" fontId="0" fillId="5" borderId="66" xfId="0" applyFill="1" applyBorder="1"/>
    <xf numFmtId="0" fontId="0" fillId="3" borderId="67" xfId="0" applyFill="1" applyBorder="1"/>
    <xf numFmtId="0" fontId="0" fillId="5" borderId="0" xfId="0" applyFill="1" applyBorder="1"/>
    <xf numFmtId="0" fontId="0" fillId="5" borderId="68" xfId="0" applyFill="1" applyBorder="1"/>
    <xf numFmtId="0" fontId="0" fillId="4" borderId="69" xfId="0" applyFill="1" applyBorder="1"/>
    <xf numFmtId="0" fontId="0" fillId="5" borderId="70" xfId="0" applyFill="1" applyBorder="1"/>
    <xf numFmtId="0" fontId="0" fillId="3" borderId="71" xfId="0" applyFill="1" applyBorder="1" applyAlignment="1">
      <alignment wrapText="1"/>
    </xf>
    <xf numFmtId="0" fontId="0" fillId="5" borderId="72" xfId="0" applyFill="1" applyBorder="1"/>
    <xf numFmtId="0" fontId="0" fillId="5" borderId="73" xfId="0" applyFill="1" applyBorder="1"/>
    <xf numFmtId="0" fontId="0" fillId="5" borderId="74" xfId="0" applyFill="1" applyBorder="1"/>
    <xf numFmtId="0" fontId="0" fillId="9" borderId="75" xfId="0" applyFill="1" applyBorder="1"/>
    <xf numFmtId="0" fontId="0" fillId="4" borderId="76" xfId="0" applyFill="1" applyBorder="1"/>
    <xf numFmtId="0" fontId="0" fillId="10" borderId="78" xfId="0" applyFill="1" applyBorder="1"/>
    <xf numFmtId="0" fontId="10" fillId="10" borderId="78" xfId="0" applyFont="1" applyFill="1" applyBorder="1"/>
    <xf numFmtId="0" fontId="11" fillId="10" borderId="77" xfId="0" applyFont="1" applyFill="1" applyBorder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Gasto</a:t>
            </a:r>
            <a:r>
              <a:rPr lang="es-MX" baseline="0"/>
              <a:t> histórico vs  gasto con paneles ($)</a:t>
            </a:r>
            <a:endParaRPr lang="es-MX"/>
          </a:p>
        </c:rich>
      </c:tx>
      <c:layout>
        <c:manualLayout>
          <c:xMode val="edge"/>
          <c:yMode val="edge"/>
          <c:x val="0.362458223972003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'tabla general'!$I$5</c:f>
              <c:strCache>
                <c:ptCount val="1"/>
                <c:pt idx="0">
                  <c:v>Pago histórico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'tabla general'!$F$6:$F$17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'tabla general'!$I$6:$I$17</c:f>
              <c:numCache>
                <c:formatCode>_("$"* #,##0.00_);_("$"* \(#,##0.00\);_("$"* "-"??_);_(@_)</c:formatCode>
                <c:ptCount val="12"/>
                <c:pt idx="0">
                  <c:v>13319.77328341296</c:v>
                </c:pt>
                <c:pt idx="1">
                  <c:v>11564.660134092961</c:v>
                </c:pt>
                <c:pt idx="2">
                  <c:v>12943.637651455199</c:v>
                </c:pt>
                <c:pt idx="3">
                  <c:v>14707.840889182798</c:v>
                </c:pt>
                <c:pt idx="4">
                  <c:v>17145.796901809917</c:v>
                </c:pt>
                <c:pt idx="5">
                  <c:v>18485.321955027841</c:v>
                </c:pt>
                <c:pt idx="6">
                  <c:v>11788.682171485438</c:v>
                </c:pt>
                <c:pt idx="7">
                  <c:v>13721.194741690801</c:v>
                </c:pt>
                <c:pt idx="8">
                  <c:v>36484.625126399995</c:v>
                </c:pt>
                <c:pt idx="9">
                  <c:v>13490.891174299439</c:v>
                </c:pt>
                <c:pt idx="10">
                  <c:v>14671.985089539839</c:v>
                </c:pt>
                <c:pt idx="11">
                  <c:v>10651.240747081922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3-4184-9ADC-1B46AC4C1FF7}"/>
            </c:ext>
          </c:extLst>
        </c:ser>
        <c:ser>
          <c:idx val="1"/>
          <c:order val="1"/>
          <c:tx>
            <c:strRef>
              <c:f>'tabla general'!$J$5</c:f>
              <c:strCache>
                <c:ptCount val="1"/>
                <c:pt idx="0">
                  <c:v>Pago nuevo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'tabla general'!$F$6:$F$17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'tabla general'!$J$6:$J$17</c:f>
              <c:numCache>
                <c:formatCode>_("$"* #,##0.00_);_("$"* \(#,##0.00\);_("$"* "-"??_);_(@_)</c:formatCode>
                <c:ptCount val="12"/>
                <c:pt idx="0">
                  <c:v>7633.2519571305584</c:v>
                </c:pt>
                <c:pt idx="1">
                  <c:v>5895.7953851412003</c:v>
                </c:pt>
                <c:pt idx="2">
                  <c:v>5336.9122394280002</c:v>
                </c:pt>
                <c:pt idx="3">
                  <c:v>7462.1298423383996</c:v>
                </c:pt>
                <c:pt idx="4">
                  <c:v>10496.70115828224</c:v>
                </c:pt>
                <c:pt idx="5">
                  <c:v>13156.375485127199</c:v>
                </c:pt>
                <c:pt idx="6">
                  <c:v>6764.3304339290407</c:v>
                </c:pt>
                <c:pt idx="7">
                  <c:v>8812.4033766067187</c:v>
                </c:pt>
                <c:pt idx="8">
                  <c:v>23260.5571968</c:v>
                </c:pt>
                <c:pt idx="9">
                  <c:v>8142.4657224359989</c:v>
                </c:pt>
                <c:pt idx="10">
                  <c:v>9134.4591773899192</c:v>
                </c:pt>
                <c:pt idx="11">
                  <c:v>5465.3445294566382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43-4184-9ADC-1B46AC4C1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201136"/>
        <c:axId val="995216496"/>
      </c:lineChart>
      <c:catAx>
        <c:axId val="99520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5216496"/>
        <c:crosses val="autoZero"/>
        <c:auto val="1"/>
        <c:lblAlgn val="ctr"/>
        <c:lblOffset val="100"/>
        <c:noMultiLvlLbl val="0"/>
      </c:catAx>
      <c:valAx>
        <c:axId val="99521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520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259080</xdr:colOff>
      <xdr:row>4</xdr:row>
      <xdr:rowOff>228600</xdr:rowOff>
    </xdr:from>
    <xdr:to>
      <xdr:col>18</xdr:col>
      <xdr:colOff>76200</xdr:colOff>
      <xdr:row>19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2331B9-972C-80D2-9A92-642CD82C5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89DFF-B715-4167-943C-BF3E6764ACF3}">
  <dimension ref="B6:N34"/>
  <sheetViews>
    <sheetView topLeftCell="A11" workbookViewId="0">
      <selection activeCell="J23" sqref="J23:J34"/>
    </sheetView>
  </sheetViews>
  <sheetFormatPr baseColWidth="10" defaultRowHeight="14.4" x14ac:dyDescent="0.3"/>
  <cols>
    <col min="7" max="7" width="15.33203125" customWidth="1"/>
    <col min="8" max="8" width="15.44140625" customWidth="1"/>
    <col min="9" max="9" width="16.77734375" customWidth="1"/>
    <col min="10" max="10" width="16.21875" customWidth="1"/>
    <col min="12" max="12" width="16.6640625" customWidth="1"/>
    <col min="13" max="13" width="14.88671875" customWidth="1"/>
    <col min="14" max="14" width="20.21875" customWidth="1"/>
  </cols>
  <sheetData>
    <row r="6" spans="2:14" ht="43.2" x14ac:dyDescent="0.3">
      <c r="G6" s="3" t="s">
        <v>12</v>
      </c>
      <c r="H6" s="4" t="s">
        <v>37</v>
      </c>
      <c r="I6" s="3" t="s">
        <v>38</v>
      </c>
      <c r="J6" s="4" t="s">
        <v>46</v>
      </c>
      <c r="K6" s="4" t="s">
        <v>85</v>
      </c>
      <c r="L6" s="37"/>
      <c r="M6" s="5" t="s">
        <v>44</v>
      </c>
      <c r="N6" s="5" t="s">
        <v>45</v>
      </c>
    </row>
    <row r="7" spans="2:14" x14ac:dyDescent="0.3">
      <c r="B7">
        <f t="shared" ref="B7:B18" si="0">ACOS(H7/100)</f>
        <v>0.40602005059514723</v>
      </c>
      <c r="C7">
        <f>B7*(360/(2*3.1416))</f>
        <v>23.263180897353738</v>
      </c>
      <c r="F7" s="2" t="s">
        <v>0</v>
      </c>
      <c r="G7" s="1">
        <f>'CON FACTOR DE POTENCIA '!D4</f>
        <v>3962</v>
      </c>
      <c r="H7" s="1">
        <f>'CON FACTOR DE POTENCIA '!E4</f>
        <v>91.87</v>
      </c>
      <c r="I7" s="1">
        <f>'CON FACTOR DE POTENCIA '!F4</f>
        <v>4313</v>
      </c>
      <c r="J7" s="1">
        <f>ROUNDUP(IF(H7&lt;90,M7,N7),2)</f>
        <v>0.51</v>
      </c>
      <c r="K7" s="6">
        <f>'CON FACTOR DE POTENCIA '!L4</f>
        <v>1704</v>
      </c>
      <c r="M7" s="1">
        <f>ROUNDUP(IF((3/5)*((90/H7)-1)*100&lt;=120,((3/5)*((90/H7)-1))*(-1)*100,-120),2)</f>
        <v>1.23</v>
      </c>
      <c r="N7" s="6">
        <f>((1/4)*((1-(90/H7))))*100</f>
        <v>0.50887123108740717</v>
      </c>
    </row>
    <row r="8" spans="2:14" x14ac:dyDescent="0.3">
      <c r="B8">
        <f t="shared" si="0"/>
        <v>0.35311508800999891</v>
      </c>
      <c r="C8">
        <f t="shared" ref="C8:C18" si="1">B8*(360/(2*3.1416))</f>
        <v>20.231956914247455</v>
      </c>
      <c r="D8">
        <f>G7/I7</f>
        <v>0.91861813123116165</v>
      </c>
      <c r="F8" s="2" t="s">
        <v>1</v>
      </c>
      <c r="G8" s="1">
        <f>'CON FACTOR DE POTENCIA '!D5</f>
        <v>3314</v>
      </c>
      <c r="H8" s="1">
        <f>'CON FACTOR DE POTENCIA '!E5</f>
        <v>93.83</v>
      </c>
      <c r="I8" s="1">
        <f>'CON FACTOR DE POTENCIA '!F5</f>
        <v>3532</v>
      </c>
      <c r="J8" s="1">
        <f t="shared" ref="J8:J18" si="2">ROUNDUP(IF(H8&lt;90,M8,N8),2)</f>
        <v>1.03</v>
      </c>
      <c r="K8" s="6">
        <f>'CON FACTOR DE POTENCIA '!L5</f>
        <v>1222</v>
      </c>
      <c r="M8" s="1">
        <f t="shared" ref="M8:M18" si="3">ROUNDUP(IF((3/5)*((90/H8)-1)*100&lt;=120,((3/5)*((90/H8)-1))*(-1)*100,-120),2)</f>
        <v>2.4499999999999997</v>
      </c>
      <c r="N8" s="6">
        <f t="shared" ref="N8:N18" si="4">((1/4)*((1-(90/H8))))*100</f>
        <v>1.0204625386336985</v>
      </c>
    </row>
    <row r="9" spans="2:14" x14ac:dyDescent="0.3">
      <c r="B9">
        <f t="shared" si="0"/>
        <v>0.33836095287452994</v>
      </c>
      <c r="C9">
        <f t="shared" si="1"/>
        <v>19.386609217410044</v>
      </c>
      <c r="F9" s="2" t="s">
        <v>2</v>
      </c>
      <c r="G9" s="1">
        <f>'CON FACTOR DE POTENCIA '!D6</f>
        <v>3786</v>
      </c>
      <c r="H9" s="1">
        <f>'CON FACTOR DE POTENCIA '!E6</f>
        <v>94.33</v>
      </c>
      <c r="I9" s="1">
        <f>'CON FACTOR DE POTENCIA '!F6</f>
        <v>4014</v>
      </c>
      <c r="J9" s="1">
        <f t="shared" si="2"/>
        <v>1.1499999999999999</v>
      </c>
      <c r="K9" s="6">
        <f>'CON FACTOR DE POTENCIA '!L6</f>
        <v>1333</v>
      </c>
      <c r="M9" s="1">
        <f t="shared" si="3"/>
        <v>2.76</v>
      </c>
      <c r="N9" s="6">
        <f t="shared" si="4"/>
        <v>1.1475670518392878</v>
      </c>
    </row>
    <row r="10" spans="2:14" x14ac:dyDescent="0.3">
      <c r="B10">
        <f t="shared" si="0"/>
        <v>0.31401851864982278</v>
      </c>
      <c r="C10">
        <f t="shared" si="1"/>
        <v>17.99189373471101</v>
      </c>
      <c r="F10" s="2" t="s">
        <v>3</v>
      </c>
      <c r="G10" s="1">
        <f>'CON FACTOR DE POTENCIA '!D7</f>
        <v>4501</v>
      </c>
      <c r="H10" s="1">
        <f>'CON FACTOR DE POTENCIA '!E7</f>
        <v>95.11</v>
      </c>
      <c r="I10" s="1">
        <f>'CON FACTOR DE POTENCIA '!F7</f>
        <v>4733</v>
      </c>
      <c r="J10" s="1">
        <f t="shared" si="2"/>
        <v>1.35</v>
      </c>
      <c r="K10" s="6">
        <f>'CON FACTOR DE POTENCIA '!L7</f>
        <v>1462</v>
      </c>
      <c r="M10" s="1">
        <f t="shared" si="3"/>
        <v>3.23</v>
      </c>
      <c r="N10" s="6">
        <f t="shared" si="4"/>
        <v>1.3431815792240565</v>
      </c>
    </row>
    <row r="11" spans="2:14" x14ac:dyDescent="0.3">
      <c r="B11">
        <f t="shared" si="0"/>
        <v>0.24183564898036347</v>
      </c>
      <c r="C11">
        <f t="shared" si="1"/>
        <v>13.856129620723653</v>
      </c>
      <c r="F11" s="2" t="s">
        <v>4</v>
      </c>
      <c r="G11" s="1">
        <f>'CON FACTOR DE POTENCIA '!D8</f>
        <v>5288</v>
      </c>
      <c r="H11" s="1">
        <f>'CON FACTOR DE POTENCIA '!E8</f>
        <v>97.09</v>
      </c>
      <c r="I11" s="1">
        <f>'CON FACTOR DE POTENCIA '!F8</f>
        <v>5447</v>
      </c>
      <c r="J11" s="1">
        <f t="shared" si="2"/>
        <v>1.83</v>
      </c>
      <c r="K11" s="6">
        <f>'CON FACTOR DE POTENCIA '!L8</f>
        <v>1305</v>
      </c>
      <c r="M11" s="1">
        <f t="shared" si="3"/>
        <v>4.3899999999999997</v>
      </c>
      <c r="N11" s="6">
        <f t="shared" si="4"/>
        <v>1.8256257081058824</v>
      </c>
    </row>
    <row r="12" spans="2:14" x14ac:dyDescent="0.3">
      <c r="B12">
        <f t="shared" si="0"/>
        <v>0.27765809840057143</v>
      </c>
      <c r="C12">
        <f t="shared" si="1"/>
        <v>15.908599984753902</v>
      </c>
      <c r="F12" s="2" t="s">
        <v>5</v>
      </c>
      <c r="G12" s="1">
        <f>'CON FACTOR DE POTENCIA '!D9</f>
        <v>5708</v>
      </c>
      <c r="H12" s="1">
        <f>'CON FACTOR DE POTENCIA '!E9</f>
        <v>96.17</v>
      </c>
      <c r="I12" s="1">
        <f>'CON FACTOR DE POTENCIA '!F9</f>
        <v>5936</v>
      </c>
      <c r="J12" s="1">
        <f t="shared" si="2"/>
        <v>1.61</v>
      </c>
      <c r="K12" s="6">
        <f>'CON FACTOR DE POTENCIA '!L9</f>
        <v>1628</v>
      </c>
      <c r="M12" s="1">
        <f t="shared" si="3"/>
        <v>3.8499999999999996</v>
      </c>
      <c r="N12" s="6">
        <f t="shared" si="4"/>
        <v>1.6039305396693349</v>
      </c>
    </row>
    <row r="13" spans="2:14" x14ac:dyDescent="0.3">
      <c r="B13">
        <f t="shared" si="0"/>
        <v>0.31466536859162386</v>
      </c>
      <c r="C13">
        <f t="shared" si="1"/>
        <v>18.028955419688153</v>
      </c>
      <c r="F13" s="2" t="s">
        <v>6</v>
      </c>
      <c r="G13" s="1">
        <f>'CON FACTOR DE POTENCIA '!D10</f>
        <v>3472</v>
      </c>
      <c r="H13" s="1">
        <f>'CON FACTOR DE POTENCIA '!E10</f>
        <v>95.09</v>
      </c>
      <c r="I13" s="1">
        <f>'CON FACTOR DE POTENCIA '!F10</f>
        <v>3652</v>
      </c>
      <c r="J13" s="1">
        <f t="shared" si="2"/>
        <v>1.34</v>
      </c>
      <c r="K13" s="6">
        <f>'CON FACTOR DE POTENCIA '!L10</f>
        <v>1131</v>
      </c>
      <c r="M13" s="1">
        <f t="shared" si="3"/>
        <v>3.2199999999999998</v>
      </c>
      <c r="N13" s="6">
        <f t="shared" si="4"/>
        <v>1.3382059101903461</v>
      </c>
    </row>
    <row r="14" spans="2:14" x14ac:dyDescent="0.3">
      <c r="B14">
        <f t="shared" si="0"/>
        <v>0.40220522517403068</v>
      </c>
      <c r="C14">
        <f t="shared" si="1"/>
        <v>23.044608012263026</v>
      </c>
      <c r="F14" s="2" t="s">
        <v>7</v>
      </c>
      <c r="G14" s="1">
        <f>'CON FACTOR DE POTENCIA '!D11</f>
        <v>4207</v>
      </c>
      <c r="H14" s="1">
        <f>'CON FACTOR DE POTENCIA '!E11</f>
        <v>92.02</v>
      </c>
      <c r="I14" s="1">
        <f>'CON FACTOR DE POTENCIA '!F11</f>
        <v>4572</v>
      </c>
      <c r="J14" s="1">
        <f t="shared" si="2"/>
        <v>0.55000000000000004</v>
      </c>
      <c r="K14" s="6">
        <f>'CON FACTOR DE POTENCIA '!L11</f>
        <v>1790</v>
      </c>
      <c r="M14" s="1">
        <f t="shared" si="3"/>
        <v>1.32</v>
      </c>
      <c r="N14" s="6">
        <f t="shared" si="4"/>
        <v>0.54879374049119634</v>
      </c>
    </row>
    <row r="15" spans="2:14" x14ac:dyDescent="0.3">
      <c r="B15">
        <f t="shared" si="0"/>
        <v>1.266103672779499</v>
      </c>
      <c r="C15">
        <f t="shared" si="1"/>
        <v>72.542227240994976</v>
      </c>
      <c r="F15" s="2" t="s">
        <v>8</v>
      </c>
      <c r="G15" s="1">
        <f>'CON FACTOR DE POTENCIA '!D12</f>
        <v>4760</v>
      </c>
      <c r="H15" s="1">
        <f>'CON FACTOR DE POTENCIA '!E12</f>
        <v>30</v>
      </c>
      <c r="I15" s="1">
        <f>'CON FACTOR DE POTENCIA '!F12</f>
        <v>15867</v>
      </c>
      <c r="J15" s="1">
        <f t="shared" si="2"/>
        <v>-120</v>
      </c>
      <c r="K15" s="6">
        <f>'CON FACTOR DE POTENCIA '!L12</f>
        <v>15137</v>
      </c>
      <c r="M15" s="1">
        <f t="shared" si="3"/>
        <v>-120</v>
      </c>
      <c r="N15" s="6">
        <f t="shared" si="4"/>
        <v>-50</v>
      </c>
    </row>
    <row r="16" spans="2:14" x14ac:dyDescent="0.3">
      <c r="B16">
        <f t="shared" si="0"/>
        <v>0.4654938567261615</v>
      </c>
      <c r="C16">
        <f t="shared" si="1"/>
        <v>26.670771011812157</v>
      </c>
      <c r="F16" s="2" t="s">
        <v>9</v>
      </c>
      <c r="G16" s="1">
        <f>'CON FACTOR DE POTENCIA '!D13</f>
        <v>3989</v>
      </c>
      <c r="H16" s="1">
        <f>'CON FACTOR DE POTENCIA '!E13</f>
        <v>89.36</v>
      </c>
      <c r="I16" s="1">
        <f>'CON FACTOR DE POTENCIA '!F13</f>
        <v>4464</v>
      </c>
      <c r="J16" s="1">
        <f t="shared" si="2"/>
        <v>-0.43</v>
      </c>
      <c r="K16" s="6">
        <f>'CON FACTOR DE POTENCIA '!L13</f>
        <v>2004</v>
      </c>
      <c r="M16" s="1">
        <f t="shared" si="3"/>
        <v>-0.43</v>
      </c>
      <c r="N16" s="6">
        <f t="shared" si="4"/>
        <v>-0.17905102954342</v>
      </c>
    </row>
    <row r="17" spans="2:14" x14ac:dyDescent="0.3">
      <c r="B17">
        <f t="shared" si="0"/>
        <v>0.4450247762198869</v>
      </c>
      <c r="C17">
        <f t="shared" si="1"/>
        <v>25.497981830780382</v>
      </c>
      <c r="F17" s="2" t="s">
        <v>10</v>
      </c>
      <c r="G17" s="1">
        <f>'CON FACTOR DE POTENCIA '!D14</f>
        <v>4366</v>
      </c>
      <c r="H17" s="1">
        <f>'CON FACTOR DE POTENCIA '!E14</f>
        <v>90.26</v>
      </c>
      <c r="I17" s="1">
        <f>'CON FACTOR DE POTENCIA '!F14</f>
        <v>4838</v>
      </c>
      <c r="J17" s="1">
        <f t="shared" si="2"/>
        <v>0.08</v>
      </c>
      <c r="K17" s="6">
        <f>'CON FACTOR DE POTENCIA '!L14</f>
        <v>2083</v>
      </c>
      <c r="M17" s="1">
        <f t="shared" si="3"/>
        <v>0.18000000000000002</v>
      </c>
      <c r="N17" s="6">
        <f t="shared" si="4"/>
        <v>7.2014181254156928E-2</v>
      </c>
    </row>
    <row r="18" spans="2:14" x14ac:dyDescent="0.3">
      <c r="B18">
        <f t="shared" si="0"/>
        <v>0.42339337923185338</v>
      </c>
      <c r="C18">
        <f t="shared" si="1"/>
        <v>24.258596976614978</v>
      </c>
      <c r="F18" s="2" t="s">
        <v>11</v>
      </c>
      <c r="G18" s="1">
        <f>'CON FACTOR DE POTENCIA '!D15</f>
        <v>3088</v>
      </c>
      <c r="H18" s="1">
        <f>'CON FACTOR DE POTENCIA '!E15</f>
        <v>91.17</v>
      </c>
      <c r="I18" s="1">
        <f>'CON FACTOR DE POTENCIA '!F15</f>
        <v>3388</v>
      </c>
      <c r="J18" s="1">
        <f t="shared" si="2"/>
        <v>0.33</v>
      </c>
      <c r="K18" s="6">
        <f>'CON FACTOR DE POTENCIA '!L15</f>
        <v>1392</v>
      </c>
      <c r="M18" s="1">
        <f t="shared" si="3"/>
        <v>0.77</v>
      </c>
      <c r="N18" s="6">
        <f t="shared" si="4"/>
        <v>0.32082922013820514</v>
      </c>
    </row>
    <row r="22" spans="2:14" ht="43.2" x14ac:dyDescent="0.3">
      <c r="G22" s="4" t="s">
        <v>47</v>
      </c>
      <c r="H22" s="4" t="s">
        <v>48</v>
      </c>
      <c r="I22" s="3" t="s">
        <v>38</v>
      </c>
      <c r="J22" s="4" t="s">
        <v>46</v>
      </c>
      <c r="K22" s="4" t="s">
        <v>85</v>
      </c>
      <c r="L22" s="37"/>
      <c r="M22" s="5" t="s">
        <v>44</v>
      </c>
      <c r="N22" s="5" t="s">
        <v>45</v>
      </c>
    </row>
    <row r="23" spans="2:14" x14ac:dyDescent="0.3">
      <c r="F23" s="2" t="s">
        <v>0</v>
      </c>
      <c r="G23" s="1">
        <f>'CON FACTOR DE POTENCIA '!Q4</f>
        <v>1802</v>
      </c>
      <c r="H23" s="1">
        <f>ROUNDUP(IF(G23&gt;0,(G23/I23)*100,100),2)</f>
        <v>72.64</v>
      </c>
      <c r="I23" s="1">
        <f>'CON FACTOR DE POTENCIA '!R4</f>
        <v>2481</v>
      </c>
      <c r="J23" s="1">
        <f>ROUNDUP(IF(H23&lt;90,M23,N23),2)</f>
        <v>-14.34</v>
      </c>
      <c r="K23" s="6">
        <f>K7</f>
        <v>1704</v>
      </c>
      <c r="M23" s="1">
        <f>ROUNDUP(IF((3/5)*((90/H23)-1)*100&lt;=120,((3/5)*((90/H23)-1))*(-1)*100,-120),2)</f>
        <v>-14.34</v>
      </c>
      <c r="N23" s="6">
        <f t="shared" ref="N23:N34" si="5">((1/4)*((1-(90/H23))))*100</f>
        <v>-5.9746696035242302</v>
      </c>
    </row>
    <row r="24" spans="2:14" x14ac:dyDescent="0.3">
      <c r="D24">
        <f>G23/I23</f>
        <v>0.72632003224506247</v>
      </c>
      <c r="F24" s="2" t="s">
        <v>1</v>
      </c>
      <c r="G24" s="1">
        <f>'CON FACTOR DE POTENCIA '!Q5</f>
        <v>1117</v>
      </c>
      <c r="H24" s="1">
        <f t="shared" ref="H24:H34" si="6">ROUNDUP(IF(G24&gt;0,(G24/I24)*100,100),2)</f>
        <v>67.460000000000008</v>
      </c>
      <c r="I24" s="1">
        <f>'CON FACTOR DE POTENCIA '!R5</f>
        <v>1656</v>
      </c>
      <c r="J24" s="1">
        <f t="shared" ref="J24:J34" si="7">ROUNDUP(IF(H24&lt;90,M24,N24),2)</f>
        <v>-20.05</v>
      </c>
      <c r="K24" s="6">
        <f t="shared" ref="K24:K34" si="8">K8</f>
        <v>1222</v>
      </c>
      <c r="M24" s="1">
        <f>ROUNDUP(IF((3/5)*((90/H24)-1)*100&lt;=120,((3/5)*((90/H24)-1))*(-1)*100,-120),2)</f>
        <v>-20.05</v>
      </c>
      <c r="N24" s="6">
        <f t="shared" si="5"/>
        <v>-8.3530981322264992</v>
      </c>
    </row>
    <row r="25" spans="2:14" x14ac:dyDescent="0.3">
      <c r="F25" s="2" t="s">
        <v>2</v>
      </c>
      <c r="G25" s="1">
        <f>'CON FACTOR DE POTENCIA '!Q6</f>
        <v>1175</v>
      </c>
      <c r="H25" s="1">
        <f t="shared" si="6"/>
        <v>66.13000000000001</v>
      </c>
      <c r="I25" s="1">
        <f>'CON FACTOR DE POTENCIA '!R6</f>
        <v>1777</v>
      </c>
      <c r="J25" s="1">
        <f t="shared" si="7"/>
        <v>-21.66</v>
      </c>
      <c r="K25" s="6">
        <f t="shared" si="8"/>
        <v>1333</v>
      </c>
      <c r="M25" s="1">
        <f t="shared" ref="M25:M34" si="9">ROUNDUP(IF((3/5)*((90/H25)-1)*100&lt;=120,((3/5)*((90/H25)-1))*(-1)*100,-120),2)</f>
        <v>-21.66</v>
      </c>
      <c r="N25" s="6">
        <f t="shared" si="5"/>
        <v>-9.0238923332829231</v>
      </c>
    </row>
    <row r="26" spans="2:14" x14ac:dyDescent="0.3">
      <c r="F26" s="2" t="s">
        <v>3</v>
      </c>
      <c r="G26" s="1">
        <f>'CON FACTOR DE POTENCIA '!Q7</f>
        <v>1970</v>
      </c>
      <c r="H26" s="1">
        <f t="shared" si="6"/>
        <v>80.28</v>
      </c>
      <c r="I26" s="1">
        <f>'CON FACTOR DE POTENCIA '!R7</f>
        <v>2454</v>
      </c>
      <c r="J26" s="1">
        <f t="shared" si="7"/>
        <v>-7.27</v>
      </c>
      <c r="K26" s="6">
        <f t="shared" si="8"/>
        <v>1462</v>
      </c>
      <c r="M26" s="1">
        <f t="shared" si="9"/>
        <v>-7.27</v>
      </c>
      <c r="N26" s="6">
        <f t="shared" si="5"/>
        <v>-3.0269058295964104</v>
      </c>
    </row>
    <row r="27" spans="2:14" x14ac:dyDescent="0.3">
      <c r="D27">
        <f>SQRT((G23^2)+(K23^2))</f>
        <v>2480.084675973786</v>
      </c>
      <c r="F27" s="2" t="s">
        <v>4</v>
      </c>
      <c r="G27" s="1">
        <f>'CON FACTOR DE POTENCIA '!Q8</f>
        <v>3004</v>
      </c>
      <c r="H27" s="1">
        <f t="shared" si="6"/>
        <v>91.7</v>
      </c>
      <c r="I27" s="1">
        <f>'CON FACTOR DE POTENCIA '!R8</f>
        <v>3276</v>
      </c>
      <c r="J27" s="1">
        <f t="shared" si="7"/>
        <v>0.47000000000000003</v>
      </c>
      <c r="K27" s="6">
        <f t="shared" si="8"/>
        <v>1305</v>
      </c>
      <c r="M27" s="1">
        <f t="shared" si="9"/>
        <v>1.1200000000000001</v>
      </c>
      <c r="N27" s="6">
        <f t="shared" si="5"/>
        <v>0.4634678298800432</v>
      </c>
    </row>
    <row r="28" spans="2:14" x14ac:dyDescent="0.3">
      <c r="F28" s="2" t="s">
        <v>5</v>
      </c>
      <c r="G28" s="1">
        <f>'CON FACTOR DE POTENCIA '!Q9</f>
        <v>3870</v>
      </c>
      <c r="H28" s="1">
        <f t="shared" si="6"/>
        <v>92.17</v>
      </c>
      <c r="I28" s="1">
        <f>'CON FACTOR DE POTENCIA '!R9</f>
        <v>4199</v>
      </c>
      <c r="J28" s="1">
        <f t="shared" si="7"/>
        <v>0.59</v>
      </c>
      <c r="K28" s="6">
        <f t="shared" si="8"/>
        <v>1628</v>
      </c>
      <c r="M28" s="1">
        <f t="shared" si="9"/>
        <v>1.42</v>
      </c>
      <c r="N28" s="6">
        <f t="shared" si="5"/>
        <v>0.58858630790929733</v>
      </c>
    </row>
    <row r="29" spans="2:14" x14ac:dyDescent="0.3">
      <c r="F29" s="2" t="s">
        <v>6</v>
      </c>
      <c r="G29" s="1">
        <f>'CON FACTOR DE POTENCIA '!Q10</f>
        <v>1639</v>
      </c>
      <c r="H29" s="1">
        <f t="shared" si="6"/>
        <v>82.28</v>
      </c>
      <c r="I29" s="1">
        <f>'CON FACTOR DE POTENCIA '!R10</f>
        <v>1992</v>
      </c>
      <c r="J29" s="1">
        <f t="shared" si="7"/>
        <v>-5.63</v>
      </c>
      <c r="K29" s="6">
        <f t="shared" si="8"/>
        <v>1131</v>
      </c>
      <c r="M29" s="1">
        <f t="shared" si="9"/>
        <v>-5.63</v>
      </c>
      <c r="N29" s="6">
        <f t="shared" si="5"/>
        <v>-2.3456490034030164</v>
      </c>
    </row>
    <row r="30" spans="2:14" x14ac:dyDescent="0.3">
      <c r="F30" s="2" t="s">
        <v>7</v>
      </c>
      <c r="G30" s="1">
        <f>'CON FACTOR DE POTENCIA '!Q11</f>
        <v>2297</v>
      </c>
      <c r="H30" s="1">
        <f t="shared" si="6"/>
        <v>78.86</v>
      </c>
      <c r="I30" s="1">
        <f>'CON FACTOR DE POTENCIA '!R11</f>
        <v>2913</v>
      </c>
      <c r="J30" s="1">
        <f t="shared" si="7"/>
        <v>-8.48</v>
      </c>
      <c r="K30" s="6">
        <f t="shared" si="8"/>
        <v>1790</v>
      </c>
      <c r="M30" s="1">
        <f t="shared" si="9"/>
        <v>-8.48</v>
      </c>
      <c r="N30" s="6">
        <f t="shared" si="5"/>
        <v>-3.5315749429368495</v>
      </c>
    </row>
    <row r="31" spans="2:14" x14ac:dyDescent="0.3">
      <c r="F31" s="2" t="s">
        <v>8</v>
      </c>
      <c r="G31" s="1">
        <f>'CON FACTOR DE POTENCIA '!Q12</f>
        <v>3020</v>
      </c>
      <c r="H31" s="1">
        <f t="shared" si="6"/>
        <v>19.57</v>
      </c>
      <c r="I31" s="1">
        <f>'CON FACTOR DE POTENCIA '!R12</f>
        <v>15436</v>
      </c>
      <c r="J31" s="1">
        <f t="shared" si="7"/>
        <v>-120</v>
      </c>
      <c r="K31" s="6">
        <f t="shared" si="8"/>
        <v>15137</v>
      </c>
      <c r="M31" s="1">
        <f t="shared" si="9"/>
        <v>-120</v>
      </c>
      <c r="N31" s="6">
        <f t="shared" si="5"/>
        <v>-89.971895758814497</v>
      </c>
    </row>
    <row r="32" spans="2:14" x14ac:dyDescent="0.3">
      <c r="F32" s="2" t="s">
        <v>9</v>
      </c>
      <c r="G32" s="1">
        <f>'CON FACTOR DE POTENCIA '!Q13</f>
        <v>1970</v>
      </c>
      <c r="H32" s="1">
        <f t="shared" si="6"/>
        <v>70.09</v>
      </c>
      <c r="I32" s="1">
        <f>'CON FACTOR DE POTENCIA '!R13</f>
        <v>2811</v>
      </c>
      <c r="J32" s="1">
        <f t="shared" si="7"/>
        <v>-17.05</v>
      </c>
      <c r="K32" s="6">
        <f t="shared" si="8"/>
        <v>2004</v>
      </c>
      <c r="M32" s="1">
        <f t="shared" si="9"/>
        <v>-17.05</v>
      </c>
      <c r="N32" s="6">
        <f t="shared" si="5"/>
        <v>-7.1015836781281205</v>
      </c>
    </row>
    <row r="33" spans="6:14" x14ac:dyDescent="0.3">
      <c r="F33" s="2" t="s">
        <v>10</v>
      </c>
      <c r="G33" s="1">
        <f>'CON FACTOR DE POTENCIA '!Q14</f>
        <v>2242</v>
      </c>
      <c r="H33" s="1">
        <f t="shared" si="6"/>
        <v>73.25</v>
      </c>
      <c r="I33" s="1">
        <f>'CON FACTOR DE POTENCIA '!R14</f>
        <v>3061</v>
      </c>
      <c r="J33" s="1">
        <f t="shared" si="7"/>
        <v>-13.73</v>
      </c>
      <c r="K33" s="6">
        <f t="shared" si="8"/>
        <v>2083</v>
      </c>
      <c r="M33" s="1">
        <f t="shared" si="9"/>
        <v>-13.73</v>
      </c>
      <c r="N33" s="6">
        <f t="shared" si="5"/>
        <v>-5.7167235494880568</v>
      </c>
    </row>
    <row r="34" spans="6:14" x14ac:dyDescent="0.3">
      <c r="F34" s="2" t="s">
        <v>11</v>
      </c>
      <c r="G34" s="1">
        <f>'CON FACTOR DE POTENCIA '!Q15</f>
        <v>921</v>
      </c>
      <c r="H34" s="1">
        <f t="shared" si="6"/>
        <v>55.15</v>
      </c>
      <c r="I34" s="1">
        <f>'CON FACTOR DE POTENCIA '!R15</f>
        <v>1670</v>
      </c>
      <c r="J34" s="1">
        <f t="shared" si="7"/>
        <v>-37.92</v>
      </c>
      <c r="K34" s="6">
        <f t="shared" si="8"/>
        <v>1392</v>
      </c>
      <c r="M34" s="1">
        <f t="shared" si="9"/>
        <v>-37.919999999999995</v>
      </c>
      <c r="N34" s="6">
        <f t="shared" si="5"/>
        <v>-15.797824116047144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900B-FEC6-4135-B02D-30C2039C33DC}">
  <dimension ref="A1:AC107"/>
  <sheetViews>
    <sheetView tabSelected="1" zoomScale="95" zoomScaleNormal="70" workbookViewId="0">
      <selection activeCell="U4" sqref="U4"/>
    </sheetView>
  </sheetViews>
  <sheetFormatPr baseColWidth="10" defaultColWidth="8.88671875" defaultRowHeight="14.4" x14ac:dyDescent="0.3"/>
  <cols>
    <col min="1" max="1" width="8.33203125" customWidth="1"/>
    <col min="2" max="2" width="12.5546875" customWidth="1"/>
    <col min="3" max="3" width="11.6640625" customWidth="1"/>
    <col min="4" max="4" width="24.109375" customWidth="1"/>
    <col min="5" max="5" width="21.44140625" customWidth="1"/>
    <col min="6" max="6" width="22.21875" customWidth="1"/>
    <col min="7" max="7" width="25" customWidth="1"/>
    <col min="8" max="8" width="20.33203125" customWidth="1"/>
    <col min="9" max="9" width="16.88671875" customWidth="1"/>
    <col min="10" max="10" width="21.109375" customWidth="1"/>
    <col min="11" max="11" width="29.33203125" customWidth="1"/>
    <col min="12" max="12" width="26.21875" customWidth="1"/>
    <col min="13" max="13" width="23.5546875" customWidth="1"/>
    <col min="14" max="14" width="25.88671875" customWidth="1"/>
    <col min="15" max="15" width="28.5546875" customWidth="1"/>
    <col min="16" max="16" width="34.109375" customWidth="1"/>
    <col min="17" max="17" width="21.5546875" customWidth="1"/>
    <col min="18" max="18" width="26.88671875" customWidth="1"/>
    <col min="19" max="19" width="26.109375" customWidth="1"/>
    <col min="20" max="20" width="19.33203125" customWidth="1"/>
    <col min="21" max="21" width="23" customWidth="1"/>
    <col min="22" max="22" width="22.77734375" customWidth="1"/>
    <col min="23" max="23" width="21.33203125" customWidth="1"/>
    <col min="24" max="24" width="17.44140625" customWidth="1"/>
    <col min="25" max="25" width="12.6640625" customWidth="1"/>
    <col min="26" max="26" width="19.77734375" customWidth="1"/>
    <col min="27" max="27" width="17.33203125" customWidth="1"/>
    <col min="28" max="28" width="18.21875" customWidth="1"/>
  </cols>
  <sheetData>
    <row r="1" spans="3:29" x14ac:dyDescent="0.3">
      <c r="N1" s="12"/>
    </row>
    <row r="2" spans="3:29" ht="43.8" thickBot="1" x14ac:dyDescent="0.35">
      <c r="D2" s="87" t="s">
        <v>101</v>
      </c>
      <c r="E2" s="87" t="s">
        <v>102</v>
      </c>
      <c r="G2" s="87" t="s">
        <v>103</v>
      </c>
      <c r="K2" s="87" t="s">
        <v>104</v>
      </c>
      <c r="N2" s="87" t="s">
        <v>105</v>
      </c>
    </row>
    <row r="3" spans="3:29" ht="43.8" thickBot="1" x14ac:dyDescent="0.35">
      <c r="C3" s="97"/>
      <c r="D3" s="89" t="s">
        <v>12</v>
      </c>
      <c r="E3" s="89" t="s">
        <v>37</v>
      </c>
      <c r="F3" s="98" t="s">
        <v>38</v>
      </c>
      <c r="G3" s="99" t="s">
        <v>24</v>
      </c>
      <c r="H3" s="99" t="s">
        <v>25</v>
      </c>
      <c r="I3" s="100" t="s">
        <v>26</v>
      </c>
      <c r="J3" s="99" t="s">
        <v>84</v>
      </c>
      <c r="K3" s="101" t="s">
        <v>27</v>
      </c>
      <c r="L3" s="102" t="s">
        <v>85</v>
      </c>
      <c r="N3" s="88" t="s">
        <v>13</v>
      </c>
      <c r="O3" s="89" t="s">
        <v>20</v>
      </c>
      <c r="P3" s="89" t="s">
        <v>19</v>
      </c>
      <c r="Q3" s="89" t="s">
        <v>33</v>
      </c>
      <c r="R3" s="89" t="s">
        <v>41</v>
      </c>
      <c r="S3" s="89" t="s">
        <v>42</v>
      </c>
      <c r="T3" s="99" t="s">
        <v>43</v>
      </c>
      <c r="U3" s="89" t="s">
        <v>24</v>
      </c>
      <c r="V3" s="89" t="s">
        <v>25</v>
      </c>
      <c r="W3" s="90" t="s">
        <v>26</v>
      </c>
      <c r="Y3" s="82"/>
      <c r="Z3" s="120" t="s">
        <v>107</v>
      </c>
      <c r="AA3" s="121" t="s">
        <v>14</v>
      </c>
      <c r="AB3" s="121"/>
      <c r="AC3" s="122"/>
    </row>
    <row r="4" spans="3:29" ht="28.8" x14ac:dyDescent="0.3">
      <c r="C4" s="103" t="s">
        <v>0</v>
      </c>
      <c r="D4" s="69">
        <v>3962</v>
      </c>
      <c r="E4" s="69">
        <v>91.87</v>
      </c>
      <c r="F4" s="79">
        <f>ROUNDUP(D4/('CON FACTOR DE POTENCIA '!E4/100),0)</f>
        <v>4313</v>
      </c>
      <c r="G4" s="69">
        <v>10</v>
      </c>
      <c r="H4" s="69">
        <f>G4</f>
        <v>10</v>
      </c>
      <c r="I4" s="73">
        <f>ROUNDUP(D4/(24*O4*$K$4),0)</f>
        <v>10</v>
      </c>
      <c r="J4" s="69">
        <f>FP!J7</f>
        <v>0.51</v>
      </c>
      <c r="K4" s="74">
        <v>0.55000000000000004</v>
      </c>
      <c r="L4" s="92">
        <f>ROUNDUP(SIN(A79)*F4,0)</f>
        <v>1704</v>
      </c>
      <c r="N4" s="91">
        <v>5.55</v>
      </c>
      <c r="O4" s="73">
        <v>31</v>
      </c>
      <c r="P4" s="69">
        <f>ROUNDDOWN(($AB$5)*$Z$5*N4*O4,0)</f>
        <v>2160</v>
      </c>
      <c r="Q4" s="69">
        <f>Q55</f>
        <v>1802</v>
      </c>
      <c r="R4" s="69">
        <f>ROUNDUP(SQRT((Q4^2)+(L4^2)),0)</f>
        <v>2481</v>
      </c>
      <c r="S4" s="69">
        <f>FP!H23</f>
        <v>72.64</v>
      </c>
      <c r="T4" s="69">
        <f>FP!J23</f>
        <v>-14.34</v>
      </c>
      <c r="U4" s="69">
        <f>G4</f>
        <v>10</v>
      </c>
      <c r="V4" s="69">
        <f>H4</f>
        <v>10</v>
      </c>
      <c r="W4" s="92">
        <f t="shared" ref="W4:W15" si="0">ROUNDUP(Q4/(24*O4*$K$4),0)</f>
        <v>5</v>
      </c>
      <c r="Z4" s="123" t="s">
        <v>15</v>
      </c>
      <c r="AA4" s="124"/>
      <c r="AB4" s="61" t="s">
        <v>18</v>
      </c>
      <c r="AC4" s="125"/>
    </row>
    <row r="5" spans="3:29" ht="15" thickBot="1" x14ac:dyDescent="0.35">
      <c r="C5" s="103" t="s">
        <v>1</v>
      </c>
      <c r="D5" s="69">
        <v>3314</v>
      </c>
      <c r="E5" s="69">
        <v>93.83</v>
      </c>
      <c r="F5" s="79">
        <f>ROUNDUP(D5/('CON FACTOR DE POTENCIA '!E5/100),0)</f>
        <v>3532</v>
      </c>
      <c r="G5" s="69">
        <v>9</v>
      </c>
      <c r="H5" s="69">
        <f t="shared" ref="H5:H15" si="1">G5</f>
        <v>9</v>
      </c>
      <c r="I5" s="73">
        <f t="shared" ref="I4:I15" si="2">ROUNDUP(D5/(24*O5*$K$4),0)</f>
        <v>9</v>
      </c>
      <c r="J5" s="69">
        <f>FP!J8</f>
        <v>1.03</v>
      </c>
      <c r="K5" s="74"/>
      <c r="L5" s="92">
        <f t="shared" ref="L4:L15" si="3">ROUNDUP(SIN(A80)*F5,0)</f>
        <v>1222</v>
      </c>
      <c r="N5" s="91">
        <v>6.25</v>
      </c>
      <c r="O5" s="73">
        <v>28</v>
      </c>
      <c r="P5" s="69">
        <f t="shared" ref="P4:P15" si="4">ROUNDDOWN(($AB$5)*$Z$5*N5*O5,0)</f>
        <v>2197</v>
      </c>
      <c r="Q5" s="69">
        <f t="shared" ref="Q4:Q15" si="5">Q56</f>
        <v>1117</v>
      </c>
      <c r="R5" s="69">
        <f t="shared" ref="R5:R15" si="6">ROUNDUP(SQRT((Q5^2)+(L5^2)),0)</f>
        <v>1656</v>
      </c>
      <c r="S5" s="69">
        <f>FP!H24</f>
        <v>67.460000000000008</v>
      </c>
      <c r="T5" s="69">
        <f>FP!J24</f>
        <v>-20.05</v>
      </c>
      <c r="U5" s="69">
        <f t="shared" ref="U5:V15" si="7">G5</f>
        <v>9</v>
      </c>
      <c r="V5" s="69">
        <f t="shared" si="7"/>
        <v>9</v>
      </c>
      <c r="W5" s="92">
        <f t="shared" si="0"/>
        <v>4</v>
      </c>
      <c r="Z5" s="126">
        <v>0.75</v>
      </c>
      <c r="AA5" s="124"/>
      <c r="AB5" s="81">
        <f>(Z11*Z14)/1000</f>
        <v>16.739999999999998</v>
      </c>
      <c r="AC5" s="125"/>
    </row>
    <row r="6" spans="3:29" ht="15" thickBot="1" x14ac:dyDescent="0.35">
      <c r="C6" s="103" t="s">
        <v>2</v>
      </c>
      <c r="D6" s="69">
        <v>3786</v>
      </c>
      <c r="E6" s="69">
        <v>94.33</v>
      </c>
      <c r="F6" s="79">
        <f>ROUNDUP(D6/('CON FACTOR DE POTENCIA '!E6/100),0)</f>
        <v>4014</v>
      </c>
      <c r="G6" s="69">
        <v>10</v>
      </c>
      <c r="H6" s="69">
        <f t="shared" si="1"/>
        <v>10</v>
      </c>
      <c r="I6" s="73">
        <f t="shared" si="2"/>
        <v>10</v>
      </c>
      <c r="J6" s="69">
        <f>FP!J9</f>
        <v>1.1499999999999999</v>
      </c>
      <c r="K6" s="74"/>
      <c r="L6" s="92">
        <f t="shared" si="3"/>
        <v>1333</v>
      </c>
      <c r="N6" s="91">
        <v>6.71</v>
      </c>
      <c r="O6" s="73">
        <v>31</v>
      </c>
      <c r="P6" s="69">
        <f t="shared" si="4"/>
        <v>2611</v>
      </c>
      <c r="Q6" s="69">
        <f t="shared" si="5"/>
        <v>1175</v>
      </c>
      <c r="R6" s="69">
        <f t="shared" si="6"/>
        <v>1777</v>
      </c>
      <c r="S6" s="69">
        <f>FP!H25</f>
        <v>66.13000000000001</v>
      </c>
      <c r="T6" s="69">
        <f>FP!J25</f>
        <v>-21.66</v>
      </c>
      <c r="U6" s="69">
        <f t="shared" si="7"/>
        <v>10</v>
      </c>
      <c r="V6" s="69">
        <f t="shared" si="7"/>
        <v>10</v>
      </c>
      <c r="W6" s="92">
        <f t="shared" si="0"/>
        <v>3</v>
      </c>
      <c r="Z6" s="127"/>
      <c r="AA6" s="124"/>
      <c r="AB6" s="124"/>
      <c r="AC6" s="125"/>
    </row>
    <row r="7" spans="3:29" ht="28.8" x14ac:dyDescent="0.3">
      <c r="C7" s="103" t="s">
        <v>3</v>
      </c>
      <c r="D7" s="69">
        <v>4501</v>
      </c>
      <c r="E7" s="69">
        <v>95.11</v>
      </c>
      <c r="F7" s="79">
        <f>ROUNDUP(D7/('CON FACTOR DE POTENCIA '!E7/100),0)</f>
        <v>4733</v>
      </c>
      <c r="G7" s="69">
        <v>11</v>
      </c>
      <c r="H7" s="69">
        <f t="shared" si="1"/>
        <v>11</v>
      </c>
      <c r="I7" s="73">
        <f t="shared" si="2"/>
        <v>12</v>
      </c>
      <c r="J7" s="69">
        <f>FP!J10</f>
        <v>1.35</v>
      </c>
      <c r="K7" s="74"/>
      <c r="L7" s="92">
        <f t="shared" si="3"/>
        <v>1462</v>
      </c>
      <c r="N7" s="91">
        <v>6.72</v>
      </c>
      <c r="O7" s="73">
        <v>30</v>
      </c>
      <c r="P7" s="69">
        <f t="shared" si="4"/>
        <v>2531</v>
      </c>
      <c r="Q7" s="69">
        <f t="shared" si="5"/>
        <v>1970</v>
      </c>
      <c r="R7" s="69">
        <f t="shared" si="6"/>
        <v>2454</v>
      </c>
      <c r="S7" s="69">
        <f>FP!H26</f>
        <v>80.28</v>
      </c>
      <c r="T7" s="69">
        <f>FP!J26</f>
        <v>-7.27</v>
      </c>
      <c r="U7" s="69">
        <f t="shared" si="7"/>
        <v>11</v>
      </c>
      <c r="V7" s="69">
        <f t="shared" si="7"/>
        <v>11</v>
      </c>
      <c r="W7" s="92">
        <f t="shared" si="0"/>
        <v>5</v>
      </c>
      <c r="Z7" s="128" t="s">
        <v>17</v>
      </c>
      <c r="AA7" s="124"/>
      <c r="AB7" s="124"/>
      <c r="AC7" s="125"/>
    </row>
    <row r="8" spans="3:29" ht="15" thickBot="1" x14ac:dyDescent="0.35">
      <c r="C8" s="103" t="s">
        <v>4</v>
      </c>
      <c r="D8" s="69">
        <v>5288</v>
      </c>
      <c r="E8" s="69">
        <v>97.09</v>
      </c>
      <c r="F8" s="79">
        <f>ROUNDUP(D8/('CON FACTOR DE POTENCIA '!E8/100),0)</f>
        <v>5447</v>
      </c>
      <c r="G8" s="69">
        <v>14</v>
      </c>
      <c r="H8" s="69">
        <f t="shared" si="1"/>
        <v>14</v>
      </c>
      <c r="I8" s="73">
        <f t="shared" si="2"/>
        <v>13</v>
      </c>
      <c r="J8" s="69">
        <f>FP!J11</f>
        <v>1.83</v>
      </c>
      <c r="K8" s="74"/>
      <c r="L8" s="92">
        <f t="shared" si="3"/>
        <v>1305</v>
      </c>
      <c r="N8" s="91">
        <v>5.87</v>
      </c>
      <c r="O8" s="73">
        <v>31</v>
      </c>
      <c r="P8" s="69">
        <f t="shared" si="4"/>
        <v>2284</v>
      </c>
      <c r="Q8" s="69">
        <f t="shared" si="5"/>
        <v>3004</v>
      </c>
      <c r="R8" s="69">
        <f t="shared" si="6"/>
        <v>3276</v>
      </c>
      <c r="S8" s="69">
        <f>FP!H27</f>
        <v>91.7</v>
      </c>
      <c r="T8" s="69">
        <f>FP!J27</f>
        <v>0.47000000000000003</v>
      </c>
      <c r="U8" s="69">
        <f t="shared" si="7"/>
        <v>14</v>
      </c>
      <c r="V8" s="69">
        <f t="shared" si="7"/>
        <v>14</v>
      </c>
      <c r="W8" s="92">
        <f t="shared" si="0"/>
        <v>8</v>
      </c>
      <c r="Z8" s="126">
        <f>ROUNDUP(D17/(365*M18*Z5),2)</f>
        <v>33.51</v>
      </c>
      <c r="AA8" s="124"/>
      <c r="AB8" s="124"/>
      <c r="AC8" s="125"/>
    </row>
    <row r="9" spans="3:29" ht="15" thickBot="1" x14ac:dyDescent="0.35">
      <c r="C9" s="103" t="s">
        <v>5</v>
      </c>
      <c r="D9" s="69">
        <v>5708</v>
      </c>
      <c r="E9" s="69">
        <v>96.17</v>
      </c>
      <c r="F9" s="79">
        <f>ROUNDUP(D9/('CON FACTOR DE POTENCIA '!E9/100),0)</f>
        <v>5936</v>
      </c>
      <c r="G9" s="69">
        <v>14</v>
      </c>
      <c r="H9" s="69">
        <f t="shared" si="1"/>
        <v>14</v>
      </c>
      <c r="I9" s="73">
        <f t="shared" si="2"/>
        <v>15</v>
      </c>
      <c r="J9" s="69">
        <f>FP!J12</f>
        <v>1.61</v>
      </c>
      <c r="K9" s="74"/>
      <c r="L9" s="92">
        <f t="shared" si="3"/>
        <v>1628</v>
      </c>
      <c r="N9" s="91">
        <v>4.88</v>
      </c>
      <c r="O9" s="73">
        <v>30</v>
      </c>
      <c r="P9" s="69">
        <f t="shared" si="4"/>
        <v>1838</v>
      </c>
      <c r="Q9" s="69">
        <f t="shared" si="5"/>
        <v>3870</v>
      </c>
      <c r="R9" s="69">
        <f t="shared" si="6"/>
        <v>4199</v>
      </c>
      <c r="S9" s="69">
        <f>FP!H28</f>
        <v>92.17</v>
      </c>
      <c r="T9" s="69">
        <f>FP!J28</f>
        <v>0.59</v>
      </c>
      <c r="U9" s="69">
        <f t="shared" si="7"/>
        <v>14</v>
      </c>
      <c r="V9" s="69">
        <f t="shared" si="7"/>
        <v>14</v>
      </c>
      <c r="W9" s="92">
        <f t="shared" si="0"/>
        <v>10</v>
      </c>
      <c r="Z9" s="127"/>
      <c r="AA9" s="124"/>
      <c r="AB9" s="124"/>
      <c r="AC9" s="125"/>
    </row>
    <row r="10" spans="3:29" ht="28.8" x14ac:dyDescent="0.3">
      <c r="C10" s="103" t="s">
        <v>6</v>
      </c>
      <c r="D10" s="69">
        <v>3472</v>
      </c>
      <c r="E10" s="69">
        <v>95.09</v>
      </c>
      <c r="F10" s="79">
        <f>ROUNDUP(D10/('CON FACTOR DE POTENCIA '!E10/100),0)</f>
        <v>3652</v>
      </c>
      <c r="G10" s="69">
        <v>9</v>
      </c>
      <c r="H10" s="69">
        <f t="shared" si="1"/>
        <v>9</v>
      </c>
      <c r="I10" s="73">
        <f t="shared" si="2"/>
        <v>9</v>
      </c>
      <c r="J10" s="69">
        <f>FP!J13</f>
        <v>1.34</v>
      </c>
      <c r="K10" s="74"/>
      <c r="L10" s="92">
        <f t="shared" si="3"/>
        <v>1131</v>
      </c>
      <c r="N10" s="91">
        <v>4.71</v>
      </c>
      <c r="O10" s="73">
        <v>31</v>
      </c>
      <c r="P10" s="69">
        <f t="shared" si="4"/>
        <v>1833</v>
      </c>
      <c r="Q10" s="69">
        <f t="shared" si="5"/>
        <v>1639</v>
      </c>
      <c r="R10" s="69">
        <f t="shared" si="6"/>
        <v>1992</v>
      </c>
      <c r="S10" s="69">
        <f>FP!H29</f>
        <v>82.28</v>
      </c>
      <c r="T10" s="69">
        <f>FP!J29</f>
        <v>-5.63</v>
      </c>
      <c r="U10" s="69">
        <f t="shared" si="7"/>
        <v>9</v>
      </c>
      <c r="V10" s="69">
        <f t="shared" si="7"/>
        <v>9</v>
      </c>
      <c r="W10" s="92">
        <f t="shared" si="0"/>
        <v>5</v>
      </c>
      <c r="Z10" s="132" t="s">
        <v>95</v>
      </c>
      <c r="AA10" s="136" t="s">
        <v>108</v>
      </c>
      <c r="AB10" s="124"/>
      <c r="AC10" s="125"/>
    </row>
    <row r="11" spans="3:29" ht="15" thickBot="1" x14ac:dyDescent="0.35">
      <c r="C11" s="103" t="s">
        <v>7</v>
      </c>
      <c r="D11" s="69">
        <v>4207</v>
      </c>
      <c r="E11" s="69">
        <v>92.02</v>
      </c>
      <c r="F11" s="79">
        <f>ROUNDUP(D11/('CON FACTOR DE POTENCIA '!E11/100),0)</f>
        <v>4572</v>
      </c>
      <c r="G11" s="69">
        <v>10</v>
      </c>
      <c r="H11" s="69">
        <f t="shared" si="1"/>
        <v>10</v>
      </c>
      <c r="I11" s="73">
        <f t="shared" si="2"/>
        <v>11</v>
      </c>
      <c r="J11" s="69">
        <f>FP!J14</f>
        <v>0.55000000000000004</v>
      </c>
      <c r="K11" s="74"/>
      <c r="L11" s="92">
        <f t="shared" si="3"/>
        <v>1790</v>
      </c>
      <c r="N11" s="91">
        <v>4.91</v>
      </c>
      <c r="O11" s="73">
        <v>31</v>
      </c>
      <c r="P11" s="69">
        <f t="shared" si="4"/>
        <v>1910</v>
      </c>
      <c r="Q11" s="69">
        <f t="shared" si="5"/>
        <v>2297</v>
      </c>
      <c r="R11" s="69">
        <f t="shared" si="6"/>
        <v>2913</v>
      </c>
      <c r="S11" s="69">
        <f>FP!H30</f>
        <v>78.86</v>
      </c>
      <c r="T11" s="69">
        <f>FP!J30</f>
        <v>-8.48</v>
      </c>
      <c r="U11" s="69">
        <f t="shared" si="7"/>
        <v>10</v>
      </c>
      <c r="V11" s="69">
        <f t="shared" si="7"/>
        <v>10</v>
      </c>
      <c r="W11" s="92">
        <f t="shared" si="0"/>
        <v>6</v>
      </c>
      <c r="Z11" s="133">
        <v>620</v>
      </c>
      <c r="AA11" s="134"/>
      <c r="AB11" s="124"/>
      <c r="AC11" s="125"/>
    </row>
    <row r="12" spans="3:29" ht="15" thickBot="1" x14ac:dyDescent="0.35">
      <c r="C12" s="103" t="s">
        <v>8</v>
      </c>
      <c r="D12" s="69">
        <v>4760</v>
      </c>
      <c r="E12" s="69">
        <v>30</v>
      </c>
      <c r="F12" s="79">
        <f>ROUNDUP(D12/('CON FACTOR DE POTENCIA '!E12/100),0)</f>
        <v>15867</v>
      </c>
      <c r="G12" s="69">
        <v>13</v>
      </c>
      <c r="H12" s="69">
        <f t="shared" si="1"/>
        <v>13</v>
      </c>
      <c r="I12" s="73">
        <f t="shared" si="2"/>
        <v>13</v>
      </c>
      <c r="J12" s="69">
        <f>FP!J15</f>
        <v>-120</v>
      </c>
      <c r="K12" s="74"/>
      <c r="L12" s="92">
        <f t="shared" si="3"/>
        <v>15137</v>
      </c>
      <c r="N12" s="91">
        <v>4.62</v>
      </c>
      <c r="O12" s="73">
        <v>30</v>
      </c>
      <c r="P12" s="69">
        <f t="shared" si="4"/>
        <v>1740</v>
      </c>
      <c r="Q12" s="69">
        <f t="shared" si="5"/>
        <v>3020</v>
      </c>
      <c r="R12" s="69">
        <f t="shared" si="6"/>
        <v>15436</v>
      </c>
      <c r="S12" s="69">
        <f>FP!H31</f>
        <v>19.57</v>
      </c>
      <c r="T12" s="69">
        <f>FP!J31</f>
        <v>-120</v>
      </c>
      <c r="U12" s="69">
        <f t="shared" si="7"/>
        <v>13</v>
      </c>
      <c r="V12" s="69">
        <f t="shared" si="7"/>
        <v>13</v>
      </c>
      <c r="W12" s="92">
        <f t="shared" si="0"/>
        <v>8</v>
      </c>
      <c r="Z12" s="127"/>
      <c r="AA12" s="124"/>
      <c r="AB12" s="124"/>
      <c r="AC12" s="125"/>
    </row>
    <row r="13" spans="3:29" ht="28.8" x14ac:dyDescent="0.3">
      <c r="C13" s="103" t="s">
        <v>9</v>
      </c>
      <c r="D13" s="69">
        <v>3989</v>
      </c>
      <c r="E13" s="69">
        <v>89.36</v>
      </c>
      <c r="F13" s="79">
        <f>ROUNDUP(D13/('CON FACTOR DE POTENCIA '!E13/100),0)</f>
        <v>4464</v>
      </c>
      <c r="G13" s="69">
        <v>11</v>
      </c>
      <c r="H13" s="69">
        <f t="shared" si="1"/>
        <v>11</v>
      </c>
      <c r="I13" s="73">
        <f t="shared" si="2"/>
        <v>10</v>
      </c>
      <c r="J13" s="69">
        <f>FP!J16</f>
        <v>-0.43</v>
      </c>
      <c r="K13" s="74"/>
      <c r="L13" s="92">
        <f t="shared" si="3"/>
        <v>2004</v>
      </c>
      <c r="N13" s="91">
        <v>5.19</v>
      </c>
      <c r="O13" s="73">
        <v>31</v>
      </c>
      <c r="P13" s="69">
        <f t="shared" si="4"/>
        <v>2019</v>
      </c>
      <c r="Q13" s="69">
        <f t="shared" si="5"/>
        <v>1970</v>
      </c>
      <c r="R13" s="69">
        <f t="shared" si="6"/>
        <v>2811</v>
      </c>
      <c r="S13" s="69">
        <f>FP!H32</f>
        <v>70.09</v>
      </c>
      <c r="T13" s="69">
        <f>FP!J32</f>
        <v>-17.05</v>
      </c>
      <c r="U13" s="69">
        <f t="shared" si="7"/>
        <v>11</v>
      </c>
      <c r="V13" s="69">
        <f t="shared" si="7"/>
        <v>11</v>
      </c>
      <c r="W13" s="92">
        <f t="shared" si="0"/>
        <v>5</v>
      </c>
      <c r="Z13" s="132" t="s">
        <v>96</v>
      </c>
      <c r="AA13" s="136" t="s">
        <v>109</v>
      </c>
      <c r="AB13" s="124"/>
      <c r="AC13" s="125"/>
    </row>
    <row r="14" spans="3:29" ht="15" thickBot="1" x14ac:dyDescent="0.35">
      <c r="C14" s="103" t="s">
        <v>10</v>
      </c>
      <c r="D14" s="69">
        <v>4366</v>
      </c>
      <c r="E14" s="69">
        <v>90.26</v>
      </c>
      <c r="F14" s="79">
        <f>ROUNDUP(D14/('CON FACTOR DE POTENCIA '!E14/100),0)</f>
        <v>4838</v>
      </c>
      <c r="G14" s="69">
        <v>11</v>
      </c>
      <c r="H14" s="69">
        <f t="shared" si="1"/>
        <v>11</v>
      </c>
      <c r="I14" s="73">
        <f t="shared" si="2"/>
        <v>12</v>
      </c>
      <c r="J14" s="69">
        <f>FP!J17</f>
        <v>0.08</v>
      </c>
      <c r="K14" s="74"/>
      <c r="L14" s="92">
        <f t="shared" si="3"/>
        <v>2083</v>
      </c>
      <c r="N14" s="91">
        <v>5.64</v>
      </c>
      <c r="O14" s="73">
        <v>30</v>
      </c>
      <c r="P14" s="69">
        <f t="shared" si="4"/>
        <v>2124</v>
      </c>
      <c r="Q14" s="69">
        <f t="shared" si="5"/>
        <v>2242</v>
      </c>
      <c r="R14" s="69">
        <f t="shared" si="6"/>
        <v>3061</v>
      </c>
      <c r="S14" s="69">
        <f>FP!H33</f>
        <v>73.25</v>
      </c>
      <c r="T14" s="69">
        <f>FP!J33</f>
        <v>-13.73</v>
      </c>
      <c r="U14" s="69">
        <f t="shared" si="7"/>
        <v>11</v>
      </c>
      <c r="V14" s="69">
        <f t="shared" si="7"/>
        <v>11</v>
      </c>
      <c r="W14" s="92">
        <f t="shared" si="0"/>
        <v>6</v>
      </c>
      <c r="Z14" s="133">
        <v>27</v>
      </c>
      <c r="AA14" s="135"/>
      <c r="AB14" s="124"/>
      <c r="AC14" s="125"/>
    </row>
    <row r="15" spans="3:29" ht="15" thickBot="1" x14ac:dyDescent="0.35">
      <c r="C15" s="104" t="s">
        <v>11</v>
      </c>
      <c r="D15" s="95">
        <v>3088</v>
      </c>
      <c r="E15" s="95">
        <v>91.17</v>
      </c>
      <c r="F15" s="105">
        <f>ROUNDUP(D15/('CON FACTOR DE POTENCIA '!E15/100),0)</f>
        <v>3388</v>
      </c>
      <c r="G15" s="95">
        <v>10</v>
      </c>
      <c r="H15" s="95">
        <f t="shared" si="1"/>
        <v>10</v>
      </c>
      <c r="I15" s="94">
        <f t="shared" si="2"/>
        <v>8</v>
      </c>
      <c r="J15" s="95">
        <f>FP!J18</f>
        <v>0.33</v>
      </c>
      <c r="K15" s="106"/>
      <c r="L15" s="96">
        <f t="shared" si="3"/>
        <v>1392</v>
      </c>
      <c r="N15" s="93">
        <v>5.57</v>
      </c>
      <c r="O15" s="94">
        <v>31</v>
      </c>
      <c r="P15" s="95">
        <f t="shared" si="4"/>
        <v>2167</v>
      </c>
      <c r="Q15" s="95">
        <f t="shared" si="5"/>
        <v>921</v>
      </c>
      <c r="R15" s="95">
        <f t="shared" si="6"/>
        <v>1670</v>
      </c>
      <c r="S15" s="95">
        <f>FP!H34</f>
        <v>55.15</v>
      </c>
      <c r="T15" s="95">
        <f>FP!J34</f>
        <v>-37.92</v>
      </c>
      <c r="U15" s="95">
        <f t="shared" si="7"/>
        <v>10</v>
      </c>
      <c r="V15" s="95">
        <f t="shared" si="7"/>
        <v>10</v>
      </c>
      <c r="W15" s="96">
        <f t="shared" si="0"/>
        <v>3</v>
      </c>
      <c r="Z15" s="127"/>
      <c r="AA15" s="124"/>
      <c r="AB15" s="124"/>
      <c r="AC15" s="125"/>
    </row>
    <row r="16" spans="3:29" x14ac:dyDescent="0.3">
      <c r="P16" s="83">
        <f>SUM(P4:P15)</f>
        <v>25414</v>
      </c>
      <c r="Z16" s="127"/>
      <c r="AA16" s="124"/>
      <c r="AB16" s="124"/>
      <c r="AC16" s="125"/>
    </row>
    <row r="17" spans="3:29" ht="15" thickBot="1" x14ac:dyDescent="0.35">
      <c r="C17" s="3" t="s">
        <v>16</v>
      </c>
      <c r="D17" s="1">
        <f>SUM(D4:D15)</f>
        <v>50441</v>
      </c>
      <c r="F17">
        <f>D4/F4</f>
        <v>0.91861813123116165</v>
      </c>
      <c r="N17" s="3" t="s">
        <v>32</v>
      </c>
      <c r="O17" s="3" t="s">
        <v>16</v>
      </c>
      <c r="Q17">
        <f>Q4/R4</f>
        <v>0.72632003224506247</v>
      </c>
      <c r="Z17" s="129"/>
      <c r="AA17" s="130"/>
      <c r="AB17" s="130"/>
      <c r="AC17" s="131"/>
    </row>
    <row r="18" spans="3:29" x14ac:dyDescent="0.3">
      <c r="M18" s="1">
        <f>ROUNDDOWN(AVERAGE(N4:N15),1)</f>
        <v>5.5</v>
      </c>
      <c r="N18" s="1">
        <f>SUM(P4:P15)</f>
        <v>25414</v>
      </c>
    </row>
    <row r="19" spans="3:29" ht="15" thickBot="1" x14ac:dyDescent="0.35">
      <c r="T19" s="8" t="s">
        <v>30</v>
      </c>
      <c r="U19" s="9"/>
    </row>
    <row r="20" spans="3:29" ht="15" thickBot="1" x14ac:dyDescent="0.35">
      <c r="C20" s="110"/>
      <c r="D20" s="113" t="s">
        <v>106</v>
      </c>
      <c r="E20" s="111"/>
      <c r="F20" s="111"/>
      <c r="G20" s="111"/>
      <c r="H20" s="112"/>
      <c r="J20" s="69"/>
      <c r="K20" s="70" t="s">
        <v>21</v>
      </c>
      <c r="L20" s="70" t="s">
        <v>34</v>
      </c>
      <c r="M20" s="70" t="s">
        <v>22</v>
      </c>
      <c r="N20" s="70" t="s">
        <v>23</v>
      </c>
      <c r="O20" s="70" t="s">
        <v>40</v>
      </c>
      <c r="P20" s="70" t="s">
        <v>39</v>
      </c>
      <c r="Q20" s="70" t="s">
        <v>16</v>
      </c>
      <c r="R20" s="70" t="s">
        <v>31</v>
      </c>
      <c r="T20" s="3" t="s">
        <v>28</v>
      </c>
      <c r="U20" s="3" t="s">
        <v>29</v>
      </c>
    </row>
    <row r="21" spans="3:29" x14ac:dyDescent="0.3">
      <c r="C21" s="107"/>
      <c r="D21" s="89" t="s">
        <v>21</v>
      </c>
      <c r="E21" s="89" t="s">
        <v>35</v>
      </c>
      <c r="F21" s="89" t="s">
        <v>22</v>
      </c>
      <c r="G21" s="89" t="s">
        <v>23</v>
      </c>
      <c r="H21" s="90" t="s">
        <v>49</v>
      </c>
      <c r="J21" s="70" t="s">
        <v>0</v>
      </c>
      <c r="K21" s="71">
        <f>D22</f>
        <v>474.54</v>
      </c>
      <c r="L21" s="71">
        <f>D4*E22</f>
        <v>5590.3820000000005</v>
      </c>
      <c r="M21" s="71">
        <f>T21*F22</f>
        <v>2115.8000000000002</v>
      </c>
      <c r="N21" s="71">
        <f>G22*U21</f>
        <v>3134.4</v>
      </c>
      <c r="O21" s="72">
        <f t="shared" ref="O21:O32" si="8">(SUM(K21:N21))*0.02</f>
        <v>226.30244000000002</v>
      </c>
      <c r="P21" s="72">
        <f>((J4/100)*(SUM(K21:O21)))*(-1)</f>
        <v>-58.861264644000009</v>
      </c>
      <c r="Q21" s="72">
        <f t="shared" ref="Q21:Q32" si="9">SUM(K21:P21)</f>
        <v>11482.563175356001</v>
      </c>
      <c r="R21" s="72">
        <f>Q21*1.16</f>
        <v>13319.77328341296</v>
      </c>
      <c r="S21" s="11"/>
      <c r="T21" s="1">
        <f>IF(I4&lt;=G4,I4,G4)</f>
        <v>10</v>
      </c>
      <c r="U21" s="1">
        <f>IF(I4&lt;=H4,I4,H4)</f>
        <v>10</v>
      </c>
    </row>
    <row r="22" spans="3:29" x14ac:dyDescent="0.3">
      <c r="C22" s="108" t="s">
        <v>0</v>
      </c>
      <c r="D22" s="69">
        <v>474.54</v>
      </c>
      <c r="E22" s="69">
        <v>1.411</v>
      </c>
      <c r="F22" s="69">
        <v>211.58</v>
      </c>
      <c r="G22" s="69">
        <v>313.44</v>
      </c>
      <c r="H22" s="92"/>
      <c r="J22" s="70" t="s">
        <v>1</v>
      </c>
      <c r="K22" s="71">
        <f>D23</f>
        <v>474.54</v>
      </c>
      <c r="L22" s="71">
        <f>D5*E23</f>
        <v>4676.0540000000001</v>
      </c>
      <c r="M22" s="71">
        <f>T22*F23</f>
        <v>1904.22</v>
      </c>
      <c r="N22" s="71">
        <f>G23*U22</f>
        <v>2820.96</v>
      </c>
      <c r="O22" s="72">
        <f t="shared" si="8"/>
        <v>197.51548000000003</v>
      </c>
      <c r="P22" s="72">
        <f t="shared" ref="P22:P32" si="10">((J5/100)*(SUM(K22:O22)))*(-1)</f>
        <v>-103.75488164400001</v>
      </c>
      <c r="Q22" s="72">
        <f t="shared" si="9"/>
        <v>9969.5345983560019</v>
      </c>
      <c r="R22" s="72">
        <f t="shared" ref="R22:R32" si="11">Q22*1.16</f>
        <v>11564.660134092961</v>
      </c>
      <c r="S22" s="11"/>
      <c r="T22" s="1">
        <f t="shared" ref="T22:T32" si="12">IF(I5&lt;=G5,I5,G5)</f>
        <v>9</v>
      </c>
      <c r="U22" s="1">
        <f t="shared" ref="U22:U32" si="13">IF(I5&lt;=H5,I5,H5)</f>
        <v>9</v>
      </c>
    </row>
    <row r="23" spans="3:29" x14ac:dyDescent="0.3">
      <c r="C23" s="108" t="s">
        <v>1</v>
      </c>
      <c r="D23" s="69">
        <v>474.54</v>
      </c>
      <c r="E23" s="69">
        <v>1.411</v>
      </c>
      <c r="F23" s="69">
        <v>211.58</v>
      </c>
      <c r="G23" s="69">
        <v>313.44</v>
      </c>
      <c r="H23" s="92"/>
      <c r="J23" s="70" t="s">
        <v>2</v>
      </c>
      <c r="K23" s="71">
        <f>D24</f>
        <v>474.54</v>
      </c>
      <c r="L23" s="71">
        <f>D6*E24</f>
        <v>5342.0460000000003</v>
      </c>
      <c r="M23" s="71">
        <f>T23*F24</f>
        <v>2115.8000000000002</v>
      </c>
      <c r="N23" s="71">
        <f>G24*U23</f>
        <v>3134.4</v>
      </c>
      <c r="O23" s="72">
        <f t="shared" si="8"/>
        <v>221.33572000000001</v>
      </c>
      <c r="P23" s="72">
        <f t="shared" si="10"/>
        <v>-129.81339978</v>
      </c>
      <c r="Q23" s="72">
        <f t="shared" si="9"/>
        <v>11158.30832022</v>
      </c>
      <c r="R23" s="72">
        <f t="shared" si="11"/>
        <v>12943.637651455199</v>
      </c>
      <c r="S23" s="11"/>
      <c r="T23" s="1">
        <f t="shared" si="12"/>
        <v>10</v>
      </c>
      <c r="U23" s="1">
        <f t="shared" si="13"/>
        <v>10</v>
      </c>
    </row>
    <row r="24" spans="3:29" x14ac:dyDescent="0.3">
      <c r="C24" s="108" t="s">
        <v>2</v>
      </c>
      <c r="D24" s="69">
        <v>474.54</v>
      </c>
      <c r="E24" s="69">
        <v>1.411</v>
      </c>
      <c r="F24" s="69">
        <v>211.58</v>
      </c>
      <c r="G24" s="69">
        <v>313.44</v>
      </c>
      <c r="H24" s="92"/>
      <c r="J24" s="70" t="s">
        <v>3</v>
      </c>
      <c r="K24" s="71">
        <f>D25</f>
        <v>474.54</v>
      </c>
      <c r="L24" s="71">
        <f>D7*E25</f>
        <v>6350.9110000000001</v>
      </c>
      <c r="M24" s="71">
        <f>T24*F25</f>
        <v>2327.38</v>
      </c>
      <c r="N24" s="71">
        <f>G25*U24</f>
        <v>3447.84</v>
      </c>
      <c r="O24" s="72">
        <f t="shared" si="8"/>
        <v>252.01342000000002</v>
      </c>
      <c r="P24" s="72">
        <f t="shared" si="10"/>
        <v>-173.51123967000001</v>
      </c>
      <c r="Q24" s="72">
        <f t="shared" si="9"/>
        <v>12679.173180329999</v>
      </c>
      <c r="R24" s="72">
        <f t="shared" si="11"/>
        <v>14707.840889182798</v>
      </c>
      <c r="S24" s="11"/>
      <c r="T24" s="1">
        <f t="shared" si="12"/>
        <v>11</v>
      </c>
      <c r="U24" s="1">
        <f t="shared" si="13"/>
        <v>11</v>
      </c>
    </row>
    <row r="25" spans="3:29" x14ac:dyDescent="0.3">
      <c r="C25" s="108" t="s">
        <v>3</v>
      </c>
      <c r="D25" s="69">
        <v>474.54</v>
      </c>
      <c r="E25" s="69">
        <v>1.411</v>
      </c>
      <c r="F25" s="69">
        <v>211.58</v>
      </c>
      <c r="G25" s="69">
        <v>313.44</v>
      </c>
      <c r="H25" s="92"/>
      <c r="J25" s="70" t="s">
        <v>4</v>
      </c>
      <c r="K25" s="71">
        <f>D26</f>
        <v>474.54</v>
      </c>
      <c r="L25" s="71">
        <f>D8*E26</f>
        <v>7461.3680000000004</v>
      </c>
      <c r="M25" s="71">
        <f>T25*F26</f>
        <v>2750.54</v>
      </c>
      <c r="N25" s="71">
        <f>G26*U25</f>
        <v>4074.72</v>
      </c>
      <c r="O25" s="72">
        <f t="shared" si="8"/>
        <v>295.22336000000001</v>
      </c>
      <c r="P25" s="72">
        <f t="shared" si="10"/>
        <v>-275.53196188800001</v>
      </c>
      <c r="Q25" s="72">
        <f t="shared" si="9"/>
        <v>14780.859398111999</v>
      </c>
      <c r="R25" s="72">
        <f t="shared" si="11"/>
        <v>17145.796901809917</v>
      </c>
      <c r="S25" s="11"/>
      <c r="T25" s="1">
        <f t="shared" si="12"/>
        <v>13</v>
      </c>
      <c r="U25" s="1">
        <f t="shared" si="13"/>
        <v>13</v>
      </c>
    </row>
    <row r="26" spans="3:29" x14ac:dyDescent="0.3">
      <c r="C26" s="108" t="s">
        <v>4</v>
      </c>
      <c r="D26" s="69">
        <v>474.54</v>
      </c>
      <c r="E26" s="69">
        <v>1.411</v>
      </c>
      <c r="F26" s="69">
        <v>211.58</v>
      </c>
      <c r="G26" s="69">
        <v>313.44</v>
      </c>
      <c r="H26" s="92"/>
      <c r="J26" s="70" t="s">
        <v>5</v>
      </c>
      <c r="K26" s="71">
        <f>D27</f>
        <v>474.54</v>
      </c>
      <c r="L26" s="71">
        <f>D9*E27</f>
        <v>8053.9880000000003</v>
      </c>
      <c r="M26" s="71">
        <f>T26*F27</f>
        <v>2962.1200000000003</v>
      </c>
      <c r="N26" s="71">
        <f>G27*U26</f>
        <v>4388.16</v>
      </c>
      <c r="O26" s="72">
        <f t="shared" si="8"/>
        <v>317.57616000000002</v>
      </c>
      <c r="P26" s="72">
        <f t="shared" si="10"/>
        <v>-260.761784976</v>
      </c>
      <c r="Q26" s="72">
        <f t="shared" si="9"/>
        <v>15935.622375024001</v>
      </c>
      <c r="R26" s="72">
        <f t="shared" si="11"/>
        <v>18485.321955027841</v>
      </c>
      <c r="S26" s="11"/>
      <c r="T26" s="1">
        <f t="shared" si="12"/>
        <v>14</v>
      </c>
      <c r="U26" s="1">
        <f t="shared" si="13"/>
        <v>14</v>
      </c>
    </row>
    <row r="27" spans="3:29" x14ac:dyDescent="0.3">
      <c r="C27" s="108" t="s">
        <v>5</v>
      </c>
      <c r="D27" s="69">
        <v>474.54</v>
      </c>
      <c r="E27" s="69">
        <v>1.411</v>
      </c>
      <c r="F27" s="69">
        <v>211.58</v>
      </c>
      <c r="G27" s="69">
        <v>313.44</v>
      </c>
      <c r="H27" s="92"/>
      <c r="J27" s="70" t="s">
        <v>6</v>
      </c>
      <c r="K27" s="71">
        <f>D28</f>
        <v>474.54</v>
      </c>
      <c r="L27" s="71">
        <f>D10*E28</f>
        <v>4898.9920000000002</v>
      </c>
      <c r="M27" s="71">
        <f>T27*F28</f>
        <v>1904.22</v>
      </c>
      <c r="N27" s="71">
        <f>G28*U27</f>
        <v>2820.96</v>
      </c>
      <c r="O27" s="72">
        <f t="shared" si="8"/>
        <v>201.97424000000001</v>
      </c>
      <c r="P27" s="72">
        <f t="shared" si="10"/>
        <v>-138.02919561599998</v>
      </c>
      <c r="Q27" s="72">
        <f t="shared" si="9"/>
        <v>10162.657044383999</v>
      </c>
      <c r="R27" s="72">
        <f t="shared" si="11"/>
        <v>11788.682171485438</v>
      </c>
      <c r="S27" s="11"/>
      <c r="T27" s="1">
        <f t="shared" si="12"/>
        <v>9</v>
      </c>
      <c r="U27" s="1">
        <f t="shared" si="13"/>
        <v>9</v>
      </c>
    </row>
    <row r="28" spans="3:29" x14ac:dyDescent="0.3">
      <c r="C28" s="108" t="s">
        <v>6</v>
      </c>
      <c r="D28" s="69">
        <v>474.54</v>
      </c>
      <c r="E28" s="69">
        <v>1.411</v>
      </c>
      <c r="F28" s="69">
        <v>211.58</v>
      </c>
      <c r="G28" s="69">
        <v>313.44</v>
      </c>
      <c r="H28" s="92"/>
      <c r="J28" s="70" t="s">
        <v>7</v>
      </c>
      <c r="K28" s="71">
        <f>D29</f>
        <v>474.54</v>
      </c>
      <c r="L28" s="71">
        <f>D11*E29</f>
        <v>5936.0770000000002</v>
      </c>
      <c r="M28" s="71">
        <f>T28*F29</f>
        <v>2115.8000000000002</v>
      </c>
      <c r="N28" s="71">
        <f>G29*U28</f>
        <v>3134.4</v>
      </c>
      <c r="O28" s="72">
        <f t="shared" si="8"/>
        <v>233.21634000000003</v>
      </c>
      <c r="P28" s="72">
        <f t="shared" si="10"/>
        <v>-65.417183370000018</v>
      </c>
      <c r="Q28" s="72">
        <f t="shared" si="9"/>
        <v>11828.616156630002</v>
      </c>
      <c r="R28" s="72">
        <f>Q28*1.16</f>
        <v>13721.194741690801</v>
      </c>
      <c r="S28" s="11"/>
      <c r="T28" s="1">
        <f t="shared" si="12"/>
        <v>10</v>
      </c>
      <c r="U28" s="1">
        <f t="shared" si="13"/>
        <v>10</v>
      </c>
    </row>
    <row r="29" spans="3:29" x14ac:dyDescent="0.3">
      <c r="C29" s="108" t="s">
        <v>7</v>
      </c>
      <c r="D29" s="69">
        <v>474.54</v>
      </c>
      <c r="E29" s="69">
        <v>1.411</v>
      </c>
      <c r="F29" s="69">
        <v>211.58</v>
      </c>
      <c r="G29" s="69">
        <v>313.44</v>
      </c>
      <c r="H29" s="92"/>
      <c r="J29" s="70" t="s">
        <v>8</v>
      </c>
      <c r="K29" s="71">
        <f>D30</f>
        <v>474.54</v>
      </c>
      <c r="L29" s="71">
        <f>D12*E30</f>
        <v>6716.3600000000006</v>
      </c>
      <c r="M29" s="71">
        <f>T29*F30</f>
        <v>2750.54</v>
      </c>
      <c r="N29" s="71">
        <f>G30*U29</f>
        <v>4074.72</v>
      </c>
      <c r="O29" s="72">
        <f t="shared" si="8"/>
        <v>280.32319999999999</v>
      </c>
      <c r="P29" s="72">
        <f t="shared" si="10"/>
        <v>17155.779839999999</v>
      </c>
      <c r="Q29" s="72">
        <f>SUM(K29:P29)</f>
        <v>31452.263039999998</v>
      </c>
      <c r="R29" s="72">
        <f t="shared" si="11"/>
        <v>36484.625126399995</v>
      </c>
      <c r="S29" s="11"/>
      <c r="T29" s="1">
        <f t="shared" si="12"/>
        <v>13</v>
      </c>
      <c r="U29" s="1">
        <f t="shared" si="13"/>
        <v>13</v>
      </c>
    </row>
    <row r="30" spans="3:29" x14ac:dyDescent="0.3">
      <c r="C30" s="108" t="s">
        <v>8</v>
      </c>
      <c r="D30" s="69">
        <v>474.54</v>
      </c>
      <c r="E30" s="69">
        <v>1.411</v>
      </c>
      <c r="F30" s="69">
        <v>211.58</v>
      </c>
      <c r="G30" s="69">
        <v>313.44</v>
      </c>
      <c r="H30" s="92"/>
      <c r="J30" s="70" t="s">
        <v>9</v>
      </c>
      <c r="K30" s="71">
        <f>D31</f>
        <v>474.54</v>
      </c>
      <c r="L30" s="71">
        <f>D13*E31</f>
        <v>5628.4790000000003</v>
      </c>
      <c r="M30" s="71">
        <f>T30*F31</f>
        <v>2115.8000000000002</v>
      </c>
      <c r="N30" s="71">
        <f>G31*U30</f>
        <v>3134.4</v>
      </c>
      <c r="O30" s="72">
        <f t="shared" si="8"/>
        <v>227.06438</v>
      </c>
      <c r="P30" s="72">
        <f t="shared" si="10"/>
        <v>49.795218533999993</v>
      </c>
      <c r="Q30" s="72">
        <f t="shared" si="9"/>
        <v>11630.078598533999</v>
      </c>
      <c r="R30" s="72">
        <f t="shared" si="11"/>
        <v>13490.891174299439</v>
      </c>
      <c r="S30" s="11"/>
      <c r="T30" s="1">
        <f t="shared" si="12"/>
        <v>10</v>
      </c>
      <c r="U30" s="1">
        <f t="shared" si="13"/>
        <v>10</v>
      </c>
    </row>
    <row r="31" spans="3:29" x14ac:dyDescent="0.3">
      <c r="C31" s="108" t="s">
        <v>9</v>
      </c>
      <c r="D31" s="69">
        <v>474.54</v>
      </c>
      <c r="E31" s="69">
        <v>1.411</v>
      </c>
      <c r="F31" s="69">
        <v>211.58</v>
      </c>
      <c r="G31" s="69">
        <v>313.44</v>
      </c>
      <c r="H31" s="92"/>
      <c r="J31" s="70" t="s">
        <v>10</v>
      </c>
      <c r="K31" s="71">
        <f>D32</f>
        <v>474.54</v>
      </c>
      <c r="L31" s="71">
        <f>D14*E32</f>
        <v>6160.4260000000004</v>
      </c>
      <c r="M31" s="71">
        <f>T31*F32</f>
        <v>2327.38</v>
      </c>
      <c r="N31" s="71">
        <f>G32*U31</f>
        <v>3447.84</v>
      </c>
      <c r="O31" s="72">
        <f t="shared" si="8"/>
        <v>248.20372000000003</v>
      </c>
      <c r="P31" s="72">
        <f t="shared" si="10"/>
        <v>-10.126711776</v>
      </c>
      <c r="Q31" s="72">
        <f t="shared" si="9"/>
        <v>12648.263008224001</v>
      </c>
      <c r="R31" s="72">
        <f t="shared" si="11"/>
        <v>14671.985089539839</v>
      </c>
      <c r="S31" s="11"/>
      <c r="T31" s="1">
        <f t="shared" si="12"/>
        <v>11</v>
      </c>
      <c r="U31" s="1">
        <f t="shared" si="13"/>
        <v>11</v>
      </c>
    </row>
    <row r="32" spans="3:29" ht="15" thickBot="1" x14ac:dyDescent="0.35">
      <c r="C32" s="108" t="s">
        <v>10</v>
      </c>
      <c r="D32" s="69">
        <v>474.54</v>
      </c>
      <c r="E32" s="69">
        <v>1.411</v>
      </c>
      <c r="F32" s="69">
        <v>211.58</v>
      </c>
      <c r="G32" s="69">
        <v>313.44</v>
      </c>
      <c r="H32" s="92"/>
      <c r="J32" s="70" t="s">
        <v>11</v>
      </c>
      <c r="K32" s="71">
        <f>D33</f>
        <v>474.54</v>
      </c>
      <c r="L32" s="71">
        <f>D15*E33</f>
        <v>4357.1679999999997</v>
      </c>
      <c r="M32" s="71">
        <f>T32*F33</f>
        <v>1692.64</v>
      </c>
      <c r="N32" s="71">
        <f>G33*U32</f>
        <v>2507.52</v>
      </c>
      <c r="O32" s="72">
        <f t="shared" si="8"/>
        <v>180.63736</v>
      </c>
      <c r="P32" s="72">
        <f t="shared" si="10"/>
        <v>-30.401267688000004</v>
      </c>
      <c r="Q32" s="84">
        <f t="shared" si="9"/>
        <v>9182.1040923120017</v>
      </c>
      <c r="R32" s="84">
        <f t="shared" si="11"/>
        <v>10651.240747081922</v>
      </c>
      <c r="S32" s="11"/>
      <c r="T32" s="1">
        <f t="shared" si="12"/>
        <v>8</v>
      </c>
      <c r="U32" s="1">
        <f t="shared" si="13"/>
        <v>8</v>
      </c>
    </row>
    <row r="33" spans="3:21" ht="15" thickBot="1" x14ac:dyDescent="0.35">
      <c r="C33" s="109" t="s">
        <v>11</v>
      </c>
      <c r="D33" s="95">
        <v>474.54</v>
      </c>
      <c r="E33" s="95">
        <v>1.411</v>
      </c>
      <c r="F33" s="95">
        <v>211.58</v>
      </c>
      <c r="G33" s="95">
        <v>313.44</v>
      </c>
      <c r="H33" s="96"/>
      <c r="J33" s="69"/>
      <c r="K33" s="69"/>
      <c r="L33" s="69"/>
      <c r="M33" s="69"/>
      <c r="N33" s="69"/>
      <c r="O33" s="69"/>
      <c r="P33" s="74"/>
      <c r="Q33" s="85">
        <f>SUM(Q21:Q32)</f>
        <v>162910.04298748198</v>
      </c>
      <c r="R33" s="86">
        <f>Q33*1.16</f>
        <v>188975.64986547909</v>
      </c>
    </row>
    <row r="34" spans="3:21" ht="15" thickBot="1" x14ac:dyDescent="0.35"/>
    <row r="35" spans="3:21" ht="21" x14ac:dyDescent="0.4">
      <c r="I35" s="38"/>
      <c r="J35" s="39"/>
      <c r="K35" s="39"/>
      <c r="L35" s="49" t="s">
        <v>86</v>
      </c>
      <c r="M35" s="39"/>
      <c r="N35" s="39"/>
      <c r="O35" s="39"/>
      <c r="P35" s="39"/>
      <c r="Q35" s="39"/>
      <c r="R35" s="40"/>
    </row>
    <row r="36" spans="3:21" x14ac:dyDescent="0.3">
      <c r="I36" s="41"/>
      <c r="K36" s="3" t="s">
        <v>21</v>
      </c>
      <c r="L36" s="3" t="s">
        <v>34</v>
      </c>
      <c r="M36" s="3" t="s">
        <v>22</v>
      </c>
      <c r="N36" s="3" t="s">
        <v>23</v>
      </c>
      <c r="O36" s="3" t="s">
        <v>36</v>
      </c>
      <c r="P36" s="3" t="s">
        <v>39</v>
      </c>
      <c r="Q36" s="3" t="s">
        <v>16</v>
      </c>
      <c r="R36" s="42" t="s">
        <v>31</v>
      </c>
      <c r="T36" s="8" t="s">
        <v>30</v>
      </c>
      <c r="U36" s="9"/>
    </row>
    <row r="37" spans="3:21" x14ac:dyDescent="0.3">
      <c r="I37" s="41"/>
      <c r="J37" s="2" t="s">
        <v>0</v>
      </c>
      <c r="K37" s="7">
        <f>K21</f>
        <v>474.54</v>
      </c>
      <c r="L37" s="7">
        <f>Q4*E22</f>
        <v>2542.6219999999998</v>
      </c>
      <c r="M37" s="7">
        <f>T38*F22</f>
        <v>1057.9000000000001</v>
      </c>
      <c r="N37" s="7">
        <f>G22*U38</f>
        <v>1567.2</v>
      </c>
      <c r="O37" s="10">
        <f>(SUM(K37:N37))*0.02</f>
        <v>112.84523999999999</v>
      </c>
      <c r="P37" s="10">
        <f t="shared" ref="P37:P48" si="14">((T4/100)*SUM(K37:O37))*(-1)</f>
        <v>825.28237821599987</v>
      </c>
      <c r="Q37" s="10">
        <f>SUM(K37:P37)</f>
        <v>6580.3896182159988</v>
      </c>
      <c r="R37" s="43">
        <f>Q37*1.16</f>
        <v>7633.2519571305584</v>
      </c>
      <c r="T37" s="3" t="s">
        <v>28</v>
      </c>
      <c r="U37" s="3" t="s">
        <v>29</v>
      </c>
    </row>
    <row r="38" spans="3:21" x14ac:dyDescent="0.3">
      <c r="I38" s="41"/>
      <c r="J38" s="2" t="s">
        <v>1</v>
      </c>
      <c r="K38" s="7">
        <f t="shared" ref="K38:K48" si="15">K22</f>
        <v>474.54</v>
      </c>
      <c r="L38" s="7">
        <f>Q5*E23</f>
        <v>1576.087</v>
      </c>
      <c r="M38" s="7">
        <f>T39*F23</f>
        <v>846.32</v>
      </c>
      <c r="N38" s="7">
        <f>G23*U39</f>
        <v>1253.76</v>
      </c>
      <c r="O38" s="10">
        <f t="shared" ref="O38:O48" si="16">(SUM(K38:N38))*0.02</f>
        <v>83.014140000000012</v>
      </c>
      <c r="P38" s="10">
        <f t="shared" si="14"/>
        <v>848.86108857000011</v>
      </c>
      <c r="Q38" s="10">
        <f t="shared" ref="Q38:Q48" si="17">SUM(K38:P38)</f>
        <v>5082.5822285700006</v>
      </c>
      <c r="R38" s="43">
        <f t="shared" ref="R38:R48" si="18">Q38*1.16</f>
        <v>5895.7953851412003</v>
      </c>
      <c r="T38" s="1">
        <f>IF(W4&lt;=U4,W4,U4)</f>
        <v>5</v>
      </c>
      <c r="U38" s="1">
        <f>IF(W4&lt;=V4,W4,V4)</f>
        <v>5</v>
      </c>
    </row>
    <row r="39" spans="3:21" x14ac:dyDescent="0.3">
      <c r="I39" s="41"/>
      <c r="J39" s="2" t="s">
        <v>2</v>
      </c>
      <c r="K39" s="7">
        <f t="shared" si="15"/>
        <v>474.54</v>
      </c>
      <c r="L39" s="7">
        <f>Q6*E24</f>
        <v>1657.925</v>
      </c>
      <c r="M39" s="7">
        <f>T40*F24</f>
        <v>634.74</v>
      </c>
      <c r="N39" s="7">
        <f>G24*U40</f>
        <v>940.31999999999994</v>
      </c>
      <c r="O39" s="10">
        <f t="shared" si="16"/>
        <v>74.150499999999994</v>
      </c>
      <c r="P39" s="10">
        <f t="shared" si="14"/>
        <v>819.11091329999999</v>
      </c>
      <c r="Q39" s="10">
        <f t="shared" si="17"/>
        <v>4600.7864133000003</v>
      </c>
      <c r="R39" s="43">
        <f t="shared" si="18"/>
        <v>5336.9122394280002</v>
      </c>
      <c r="T39" s="1">
        <f t="shared" ref="T38:T49" si="19">IF(W5&lt;=U5,W5,U5)</f>
        <v>4</v>
      </c>
      <c r="U39" s="1">
        <f t="shared" ref="U38:U49" si="20">IF(W5&lt;=V5,W5,V5)</f>
        <v>4</v>
      </c>
    </row>
    <row r="40" spans="3:21" x14ac:dyDescent="0.3">
      <c r="I40" s="41"/>
      <c r="J40" s="2" t="s">
        <v>3</v>
      </c>
      <c r="K40" s="7">
        <f t="shared" si="15"/>
        <v>474.54</v>
      </c>
      <c r="L40" s="7">
        <f>Q7*E25</f>
        <v>2779.67</v>
      </c>
      <c r="M40" s="7">
        <f>T41*F25</f>
        <v>1057.9000000000001</v>
      </c>
      <c r="N40" s="7">
        <f>G25*U41</f>
        <v>1567.2</v>
      </c>
      <c r="O40" s="10">
        <f t="shared" si="16"/>
        <v>117.58620000000001</v>
      </c>
      <c r="P40" s="10">
        <f t="shared" si="14"/>
        <v>435.97435374000003</v>
      </c>
      <c r="Q40" s="10">
        <f t="shared" si="17"/>
        <v>6432.8705537400001</v>
      </c>
      <c r="R40" s="43">
        <f t="shared" si="18"/>
        <v>7462.1298423383996</v>
      </c>
      <c r="T40" s="1">
        <f t="shared" si="19"/>
        <v>3</v>
      </c>
      <c r="U40" s="1">
        <f t="shared" si="20"/>
        <v>3</v>
      </c>
    </row>
    <row r="41" spans="3:21" x14ac:dyDescent="0.3">
      <c r="I41" s="41"/>
      <c r="J41" s="2" t="s">
        <v>4</v>
      </c>
      <c r="K41" s="7">
        <f t="shared" si="15"/>
        <v>474.54</v>
      </c>
      <c r="L41" s="7">
        <f>Q8*E26</f>
        <v>4238.6440000000002</v>
      </c>
      <c r="M41" s="7">
        <f>T42*F26</f>
        <v>1692.64</v>
      </c>
      <c r="N41" s="7">
        <f>G26*U42</f>
        <v>2507.52</v>
      </c>
      <c r="O41" s="10">
        <f t="shared" si="16"/>
        <v>178.26688000000001</v>
      </c>
      <c r="P41" s="10">
        <f>((T8/100)*SUM(K41:O41))*(-1)</f>
        <v>-42.730571136000002</v>
      </c>
      <c r="Q41" s="10">
        <f t="shared" si="17"/>
        <v>9048.8803088639997</v>
      </c>
      <c r="R41" s="44">
        <f>Q41*1.16</f>
        <v>10496.70115828224</v>
      </c>
      <c r="T41" s="1">
        <f t="shared" si="19"/>
        <v>5</v>
      </c>
      <c r="U41" s="1">
        <f t="shared" si="20"/>
        <v>5</v>
      </c>
    </row>
    <row r="42" spans="3:21" x14ac:dyDescent="0.3">
      <c r="I42" s="41"/>
      <c r="J42" s="2" t="s">
        <v>5</v>
      </c>
      <c r="K42" s="7">
        <f t="shared" si="15"/>
        <v>474.54</v>
      </c>
      <c r="L42" s="7">
        <f>Q9*E27</f>
        <v>5460.57</v>
      </c>
      <c r="M42" s="7">
        <f>T43*F27</f>
        <v>2115.8000000000002</v>
      </c>
      <c r="N42" s="7">
        <f>G27*U43</f>
        <v>3134.4</v>
      </c>
      <c r="O42" s="10">
        <f t="shared" si="16"/>
        <v>223.7062</v>
      </c>
      <c r="P42" s="10">
        <f t="shared" si="14"/>
        <v>-67.313195579999999</v>
      </c>
      <c r="Q42" s="10">
        <f t="shared" si="17"/>
        <v>11341.70300442</v>
      </c>
      <c r="R42" s="43">
        <f t="shared" si="18"/>
        <v>13156.375485127199</v>
      </c>
      <c r="T42" s="1">
        <f t="shared" si="19"/>
        <v>8</v>
      </c>
      <c r="U42" s="1">
        <f t="shared" si="20"/>
        <v>8</v>
      </c>
    </row>
    <row r="43" spans="3:21" x14ac:dyDescent="0.3">
      <c r="I43" s="41"/>
      <c r="J43" s="2" t="s">
        <v>6</v>
      </c>
      <c r="K43" s="7">
        <f t="shared" si="15"/>
        <v>474.54</v>
      </c>
      <c r="L43" s="7">
        <f>Q10*E28</f>
        <v>2312.6289999999999</v>
      </c>
      <c r="M43" s="7">
        <f>T44*F28</f>
        <v>1057.9000000000001</v>
      </c>
      <c r="N43" s="7">
        <f>G28*U44</f>
        <v>1567.2</v>
      </c>
      <c r="O43" s="10">
        <f t="shared" si="16"/>
        <v>108.24538000000001</v>
      </c>
      <c r="P43" s="10">
        <f t="shared" si="14"/>
        <v>310.80495959400002</v>
      </c>
      <c r="Q43" s="10">
        <f t="shared" si="17"/>
        <v>5831.3193395940007</v>
      </c>
      <c r="R43" s="43">
        <f t="shared" si="18"/>
        <v>6764.3304339290407</v>
      </c>
      <c r="T43" s="1">
        <f t="shared" si="19"/>
        <v>10</v>
      </c>
      <c r="U43" s="1">
        <f t="shared" si="20"/>
        <v>10</v>
      </c>
    </row>
    <row r="44" spans="3:21" x14ac:dyDescent="0.3">
      <c r="I44" s="41"/>
      <c r="J44" s="2" t="s">
        <v>7</v>
      </c>
      <c r="K44" s="7">
        <f t="shared" si="15"/>
        <v>474.54</v>
      </c>
      <c r="L44" s="7">
        <f>Q11*E29</f>
        <v>3241.067</v>
      </c>
      <c r="M44" s="7">
        <f>T45*F29</f>
        <v>1269.48</v>
      </c>
      <c r="N44" s="7">
        <f>G29*U45</f>
        <v>1880.6399999999999</v>
      </c>
      <c r="O44" s="10">
        <f t="shared" si="16"/>
        <v>137.31453999999999</v>
      </c>
      <c r="P44" s="10">
        <f t="shared" si="14"/>
        <v>593.85792259199991</v>
      </c>
      <c r="Q44" s="10">
        <f t="shared" si="17"/>
        <v>7596.8994625919995</v>
      </c>
      <c r="R44" s="43">
        <f t="shared" si="18"/>
        <v>8812.4033766067187</v>
      </c>
      <c r="T44" s="1">
        <f t="shared" si="19"/>
        <v>5</v>
      </c>
      <c r="U44" s="1">
        <f t="shared" si="20"/>
        <v>5</v>
      </c>
    </row>
    <row r="45" spans="3:21" x14ac:dyDescent="0.3">
      <c r="I45" s="41"/>
      <c r="J45" s="2" t="s">
        <v>8</v>
      </c>
      <c r="K45" s="7">
        <f t="shared" si="15"/>
        <v>474.54</v>
      </c>
      <c r="L45" s="7">
        <f>Q12*E30</f>
        <v>4261.22</v>
      </c>
      <c r="M45" s="7">
        <f>T46*F30</f>
        <v>1692.64</v>
      </c>
      <c r="N45" s="7">
        <f>G30*U46</f>
        <v>2507.52</v>
      </c>
      <c r="O45" s="10">
        <f t="shared" si="16"/>
        <v>178.7184</v>
      </c>
      <c r="P45" s="10">
        <f t="shared" si="14"/>
        <v>10937.566079999999</v>
      </c>
      <c r="Q45" s="10">
        <f t="shared" si="17"/>
        <v>20052.20448</v>
      </c>
      <c r="R45" s="43">
        <f t="shared" si="18"/>
        <v>23260.5571968</v>
      </c>
      <c r="T45" s="1">
        <f t="shared" si="19"/>
        <v>6</v>
      </c>
      <c r="U45" s="1">
        <f t="shared" si="20"/>
        <v>6</v>
      </c>
    </row>
    <row r="46" spans="3:21" x14ac:dyDescent="0.3">
      <c r="I46" s="41"/>
      <c r="J46" s="2" t="s">
        <v>9</v>
      </c>
      <c r="K46" s="7">
        <f t="shared" si="15"/>
        <v>474.54</v>
      </c>
      <c r="L46" s="7">
        <f>Q13*E31</f>
        <v>2779.67</v>
      </c>
      <c r="M46" s="7">
        <f>T47*F31</f>
        <v>1057.9000000000001</v>
      </c>
      <c r="N46" s="7">
        <f>G31*U47</f>
        <v>1567.2</v>
      </c>
      <c r="O46" s="10">
        <f t="shared" si="16"/>
        <v>117.58620000000001</v>
      </c>
      <c r="P46" s="10">
        <f t="shared" si="14"/>
        <v>1022.4708021000001</v>
      </c>
      <c r="Q46" s="10">
        <f t="shared" si="17"/>
        <v>7019.3670020999998</v>
      </c>
      <c r="R46" s="43">
        <f t="shared" si="18"/>
        <v>8142.4657224359989</v>
      </c>
      <c r="T46" s="1">
        <f t="shared" si="19"/>
        <v>8</v>
      </c>
      <c r="U46" s="1">
        <f t="shared" si="20"/>
        <v>8</v>
      </c>
    </row>
    <row r="47" spans="3:21" x14ac:dyDescent="0.3">
      <c r="I47" s="41"/>
      <c r="J47" s="2" t="s">
        <v>10</v>
      </c>
      <c r="K47" s="7">
        <f t="shared" si="15"/>
        <v>474.54</v>
      </c>
      <c r="L47" s="7">
        <f>Q14*E32</f>
        <v>3163.462</v>
      </c>
      <c r="M47" s="7">
        <f>T48*F32</f>
        <v>1269.48</v>
      </c>
      <c r="N47" s="7">
        <f>G32*U48</f>
        <v>1880.6399999999999</v>
      </c>
      <c r="O47" s="10">
        <f t="shared" si="16"/>
        <v>135.76244</v>
      </c>
      <c r="P47" s="10">
        <f t="shared" si="14"/>
        <v>950.64933361199996</v>
      </c>
      <c r="Q47" s="10">
        <f t="shared" si="17"/>
        <v>7874.533773612</v>
      </c>
      <c r="R47" s="43">
        <f t="shared" si="18"/>
        <v>9134.4591773899192</v>
      </c>
      <c r="T47" s="1">
        <f t="shared" si="19"/>
        <v>5</v>
      </c>
      <c r="U47" s="1">
        <f t="shared" si="20"/>
        <v>5</v>
      </c>
    </row>
    <row r="48" spans="3:21" ht="15" thickBot="1" x14ac:dyDescent="0.35">
      <c r="I48" s="41"/>
      <c r="J48" s="2" t="s">
        <v>11</v>
      </c>
      <c r="K48" s="7">
        <f t="shared" si="15"/>
        <v>474.54</v>
      </c>
      <c r="L48" s="7">
        <f>Q15*E33</f>
        <v>1299.5309999999999</v>
      </c>
      <c r="M48" s="7">
        <f>T49*F33</f>
        <v>634.74</v>
      </c>
      <c r="N48" s="7">
        <f>G33*U49</f>
        <v>940.31999999999994</v>
      </c>
      <c r="O48" s="10">
        <f t="shared" si="16"/>
        <v>66.982619999999983</v>
      </c>
      <c r="P48" s="115">
        <f t="shared" si="14"/>
        <v>1295.3902847039999</v>
      </c>
      <c r="Q48" s="10">
        <f t="shared" si="17"/>
        <v>4711.5039047039991</v>
      </c>
      <c r="R48" s="43">
        <f t="shared" si="18"/>
        <v>5465.3445294566382</v>
      </c>
      <c r="T48" s="1">
        <f t="shared" si="19"/>
        <v>6</v>
      </c>
      <c r="U48" s="1">
        <f t="shared" si="20"/>
        <v>6</v>
      </c>
    </row>
    <row r="49" spans="9:21" ht="15" thickBot="1" x14ac:dyDescent="0.35">
      <c r="I49" s="41"/>
      <c r="P49" s="116">
        <f>SUM(P37:P48)</f>
        <v>17929.924349712001</v>
      </c>
      <c r="Q49" s="114">
        <f>SUM(Q37:Q48)</f>
        <v>96173.040089711998</v>
      </c>
      <c r="R49" s="45">
        <f>Q49*1.16</f>
        <v>111560.72650406591</v>
      </c>
      <c r="T49" s="1">
        <f t="shared" si="19"/>
        <v>3</v>
      </c>
      <c r="U49" s="1">
        <f t="shared" si="20"/>
        <v>3</v>
      </c>
    </row>
    <row r="50" spans="9:21" x14ac:dyDescent="0.3">
      <c r="I50" s="41"/>
      <c r="R50" s="80">
        <f>R33-R49</f>
        <v>77414.923361413181</v>
      </c>
    </row>
    <row r="51" spans="9:21" ht="15" thickBot="1" x14ac:dyDescent="0.35">
      <c r="I51" s="46"/>
      <c r="J51" s="47"/>
      <c r="K51" s="47"/>
      <c r="L51" s="47"/>
      <c r="M51" s="47"/>
      <c r="N51" s="47"/>
      <c r="O51" s="47"/>
      <c r="P51" s="47"/>
      <c r="Q51" s="47"/>
      <c r="R51" s="48"/>
    </row>
    <row r="52" spans="9:21" ht="15" thickBot="1" x14ac:dyDescent="0.35"/>
    <row r="53" spans="9:21" ht="21.6" thickBot="1" x14ac:dyDescent="0.45">
      <c r="I53" s="38"/>
      <c r="J53" s="39"/>
      <c r="K53" s="39"/>
      <c r="L53" s="39"/>
      <c r="M53" s="54" t="s">
        <v>93</v>
      </c>
      <c r="N53" s="39"/>
      <c r="O53" s="39"/>
      <c r="P53" s="39"/>
      <c r="Q53" s="40"/>
    </row>
    <row r="54" spans="9:21" x14ac:dyDescent="0.3">
      <c r="I54" s="50"/>
      <c r="J54" s="58" t="s">
        <v>88</v>
      </c>
      <c r="K54" s="58"/>
      <c r="L54" s="58" t="s">
        <v>89</v>
      </c>
      <c r="M54" s="58" t="s">
        <v>90</v>
      </c>
      <c r="N54" s="58" t="s">
        <v>91</v>
      </c>
      <c r="O54" s="58" t="s">
        <v>92</v>
      </c>
      <c r="P54" s="59"/>
      <c r="Q54" s="60" t="s">
        <v>94</v>
      </c>
    </row>
    <row r="55" spans="9:21" x14ac:dyDescent="0.3">
      <c r="I55" s="55" t="s">
        <v>87</v>
      </c>
      <c r="J55" s="51">
        <f t="shared" ref="J55:J66" si="21">D4-P4</f>
        <v>1802</v>
      </c>
      <c r="K55" s="51">
        <f>IF(J55&lt;0,J55,0)</f>
        <v>0</v>
      </c>
      <c r="L55" s="51">
        <f>K55*-1</f>
        <v>0</v>
      </c>
      <c r="M55" s="51">
        <f>IF(J55&lt;=0,0,J55)</f>
        <v>1802</v>
      </c>
      <c r="N55" s="51">
        <f>L67</f>
        <v>0</v>
      </c>
      <c r="O55" s="51">
        <f t="shared" ref="O55:O67" si="22">IF(N55&gt;0,N55,0)</f>
        <v>0</v>
      </c>
      <c r="P55">
        <f>IF(N56&gt;0,0,M55)</f>
        <v>1802</v>
      </c>
      <c r="Q55" s="56">
        <f>IF(N55&gt;M55,0,M55-O55)</f>
        <v>1802</v>
      </c>
    </row>
    <row r="56" spans="9:21" x14ac:dyDescent="0.3">
      <c r="I56" s="55" t="s">
        <v>57</v>
      </c>
      <c r="J56" s="51">
        <f t="shared" si="21"/>
        <v>1117</v>
      </c>
      <c r="K56" s="51">
        <f t="shared" ref="K56:K66" si="23">IF(J56&lt;0,J56,0)</f>
        <v>0</v>
      </c>
      <c r="L56" s="51">
        <f t="shared" ref="L56:L66" si="24">K56*-1</f>
        <v>0</v>
      </c>
      <c r="M56" s="51">
        <f t="shared" ref="M56:M66" si="25">IF(J56&lt;=0,0,J56)</f>
        <v>1117</v>
      </c>
      <c r="N56" s="51">
        <f>L67-M55</f>
        <v>-1802</v>
      </c>
      <c r="O56" s="51">
        <f t="shared" si="22"/>
        <v>0</v>
      </c>
      <c r="P56">
        <f t="shared" ref="P56:P66" si="26">IF(N57&gt;0,0,M56)</f>
        <v>1117</v>
      </c>
      <c r="Q56" s="56">
        <f t="shared" ref="Q56:Q66" si="27">IF(N56&gt;M56,0,M56-O56)</f>
        <v>1117</v>
      </c>
    </row>
    <row r="57" spans="9:21" x14ac:dyDescent="0.3">
      <c r="I57" s="55" t="s">
        <v>58</v>
      </c>
      <c r="J57" s="51">
        <f t="shared" si="21"/>
        <v>1175</v>
      </c>
      <c r="K57" s="51">
        <f t="shared" si="23"/>
        <v>0</v>
      </c>
      <c r="L57" s="51">
        <f t="shared" si="24"/>
        <v>0</v>
      </c>
      <c r="M57" s="51">
        <f t="shared" si="25"/>
        <v>1175</v>
      </c>
      <c r="N57" s="51">
        <f t="shared" ref="N57:N67" si="28">N56-M56</f>
        <v>-2919</v>
      </c>
      <c r="O57" s="51">
        <f t="shared" si="22"/>
        <v>0</v>
      </c>
      <c r="P57">
        <f t="shared" si="26"/>
        <v>1175</v>
      </c>
      <c r="Q57" s="56">
        <f t="shared" si="27"/>
        <v>1175</v>
      </c>
    </row>
    <row r="58" spans="9:21" x14ac:dyDescent="0.3">
      <c r="I58" s="55" t="s">
        <v>59</v>
      </c>
      <c r="J58" s="51">
        <f t="shared" si="21"/>
        <v>1970</v>
      </c>
      <c r="K58" s="51">
        <f t="shared" si="23"/>
        <v>0</v>
      </c>
      <c r="L58" s="51">
        <f t="shared" si="24"/>
        <v>0</v>
      </c>
      <c r="M58" s="51">
        <f t="shared" si="25"/>
        <v>1970</v>
      </c>
      <c r="N58" s="51">
        <f t="shared" si="28"/>
        <v>-4094</v>
      </c>
      <c r="O58" s="51">
        <f t="shared" si="22"/>
        <v>0</v>
      </c>
      <c r="P58">
        <f t="shared" si="26"/>
        <v>1970</v>
      </c>
      <c r="Q58" s="56">
        <f t="shared" si="27"/>
        <v>1970</v>
      </c>
    </row>
    <row r="59" spans="9:21" x14ac:dyDescent="0.3">
      <c r="I59" s="55" t="s">
        <v>60</v>
      </c>
      <c r="J59" s="51">
        <f t="shared" si="21"/>
        <v>3004</v>
      </c>
      <c r="K59" s="51">
        <f t="shared" si="23"/>
        <v>0</v>
      </c>
      <c r="L59" s="51">
        <f t="shared" si="24"/>
        <v>0</v>
      </c>
      <c r="M59" s="51">
        <f t="shared" si="25"/>
        <v>3004</v>
      </c>
      <c r="N59" s="51">
        <f t="shared" si="28"/>
        <v>-6064</v>
      </c>
      <c r="O59" s="51">
        <f t="shared" si="22"/>
        <v>0</v>
      </c>
      <c r="P59">
        <f t="shared" si="26"/>
        <v>3004</v>
      </c>
      <c r="Q59" s="56">
        <f t="shared" si="27"/>
        <v>3004</v>
      </c>
    </row>
    <row r="60" spans="9:21" x14ac:dyDescent="0.3">
      <c r="I60" s="55" t="s">
        <v>61</v>
      </c>
      <c r="J60" s="51">
        <f t="shared" si="21"/>
        <v>3870</v>
      </c>
      <c r="K60" s="51">
        <f t="shared" si="23"/>
        <v>0</v>
      </c>
      <c r="L60" s="51">
        <f t="shared" si="24"/>
        <v>0</v>
      </c>
      <c r="M60" s="51">
        <f t="shared" si="25"/>
        <v>3870</v>
      </c>
      <c r="N60" s="51">
        <f t="shared" si="28"/>
        <v>-9068</v>
      </c>
      <c r="O60" s="51">
        <f t="shared" si="22"/>
        <v>0</v>
      </c>
      <c r="P60">
        <f t="shared" si="26"/>
        <v>3870</v>
      </c>
      <c r="Q60" s="56">
        <f t="shared" si="27"/>
        <v>3870</v>
      </c>
    </row>
    <row r="61" spans="9:21" x14ac:dyDescent="0.3">
      <c r="I61" s="55" t="s">
        <v>62</v>
      </c>
      <c r="J61" s="51">
        <f t="shared" si="21"/>
        <v>1639</v>
      </c>
      <c r="K61" s="51">
        <f t="shared" si="23"/>
        <v>0</v>
      </c>
      <c r="L61" s="51">
        <f t="shared" si="24"/>
        <v>0</v>
      </c>
      <c r="M61" s="51">
        <f t="shared" si="25"/>
        <v>1639</v>
      </c>
      <c r="N61" s="51">
        <f t="shared" si="28"/>
        <v>-12938</v>
      </c>
      <c r="O61" s="51">
        <f t="shared" si="22"/>
        <v>0</v>
      </c>
      <c r="P61">
        <f t="shared" si="26"/>
        <v>1639</v>
      </c>
      <c r="Q61" s="56">
        <f t="shared" si="27"/>
        <v>1639</v>
      </c>
    </row>
    <row r="62" spans="9:21" x14ac:dyDescent="0.3">
      <c r="I62" s="55" t="s">
        <v>63</v>
      </c>
      <c r="J62" s="51">
        <f t="shared" si="21"/>
        <v>2297</v>
      </c>
      <c r="K62" s="51">
        <f t="shared" si="23"/>
        <v>0</v>
      </c>
      <c r="L62" s="51">
        <f t="shared" si="24"/>
        <v>0</v>
      </c>
      <c r="M62" s="51">
        <f t="shared" si="25"/>
        <v>2297</v>
      </c>
      <c r="N62" s="51">
        <f t="shared" si="28"/>
        <v>-14577</v>
      </c>
      <c r="O62" s="51">
        <f t="shared" si="22"/>
        <v>0</v>
      </c>
      <c r="P62">
        <f t="shared" si="26"/>
        <v>2297</v>
      </c>
      <c r="Q62" s="56">
        <f t="shared" si="27"/>
        <v>2297</v>
      </c>
    </row>
    <row r="63" spans="9:21" x14ac:dyDescent="0.3">
      <c r="I63" s="55" t="s">
        <v>64</v>
      </c>
      <c r="J63" s="51">
        <f t="shared" si="21"/>
        <v>3020</v>
      </c>
      <c r="K63" s="51">
        <f t="shared" si="23"/>
        <v>0</v>
      </c>
      <c r="L63" s="51">
        <f t="shared" si="24"/>
        <v>0</v>
      </c>
      <c r="M63" s="51">
        <f t="shared" si="25"/>
        <v>3020</v>
      </c>
      <c r="N63" s="51">
        <f t="shared" si="28"/>
        <v>-16874</v>
      </c>
      <c r="O63" s="51">
        <f t="shared" si="22"/>
        <v>0</v>
      </c>
      <c r="P63">
        <f t="shared" si="26"/>
        <v>3020</v>
      </c>
      <c r="Q63" s="56">
        <f t="shared" si="27"/>
        <v>3020</v>
      </c>
    </row>
    <row r="64" spans="9:21" x14ac:dyDescent="0.3">
      <c r="I64" s="55" t="s">
        <v>65</v>
      </c>
      <c r="J64" s="51">
        <f t="shared" si="21"/>
        <v>1970</v>
      </c>
      <c r="K64" s="51">
        <f t="shared" si="23"/>
        <v>0</v>
      </c>
      <c r="L64" s="51">
        <f t="shared" si="24"/>
        <v>0</v>
      </c>
      <c r="M64" s="51">
        <f t="shared" si="25"/>
        <v>1970</v>
      </c>
      <c r="N64" s="51">
        <f t="shared" si="28"/>
        <v>-19894</v>
      </c>
      <c r="O64" s="51">
        <f t="shared" si="22"/>
        <v>0</v>
      </c>
      <c r="P64">
        <f t="shared" si="26"/>
        <v>1970</v>
      </c>
      <c r="Q64" s="56">
        <f t="shared" si="27"/>
        <v>1970</v>
      </c>
    </row>
    <row r="65" spans="1:17" x14ac:dyDescent="0.3">
      <c r="I65" s="55" t="s">
        <v>66</v>
      </c>
      <c r="J65" s="51">
        <f t="shared" si="21"/>
        <v>2242</v>
      </c>
      <c r="K65" s="51">
        <f t="shared" si="23"/>
        <v>0</v>
      </c>
      <c r="L65" s="51">
        <f t="shared" si="24"/>
        <v>0</v>
      </c>
      <c r="M65" s="51">
        <f t="shared" si="25"/>
        <v>2242</v>
      </c>
      <c r="N65" s="51">
        <f t="shared" si="28"/>
        <v>-21864</v>
      </c>
      <c r="O65" s="51">
        <f t="shared" si="22"/>
        <v>0</v>
      </c>
      <c r="P65">
        <f t="shared" si="26"/>
        <v>2242</v>
      </c>
      <c r="Q65" s="56">
        <f t="shared" si="27"/>
        <v>2242</v>
      </c>
    </row>
    <row r="66" spans="1:17" ht="15" thickBot="1" x14ac:dyDescent="0.35">
      <c r="I66" s="55" t="s">
        <v>67</v>
      </c>
      <c r="J66" s="51">
        <f t="shared" si="21"/>
        <v>921</v>
      </c>
      <c r="K66" s="51">
        <f t="shared" si="23"/>
        <v>0</v>
      </c>
      <c r="L66" s="51">
        <f t="shared" si="24"/>
        <v>0</v>
      </c>
      <c r="M66" s="51">
        <f t="shared" si="25"/>
        <v>921</v>
      </c>
      <c r="N66" s="51">
        <f t="shared" si="28"/>
        <v>-24106</v>
      </c>
      <c r="O66" s="51">
        <f t="shared" si="22"/>
        <v>0</v>
      </c>
      <c r="P66">
        <f t="shared" si="26"/>
        <v>921</v>
      </c>
      <c r="Q66" s="57">
        <f t="shared" si="27"/>
        <v>921</v>
      </c>
    </row>
    <row r="67" spans="1:17" ht="15" thickBot="1" x14ac:dyDescent="0.35">
      <c r="I67" s="52"/>
      <c r="J67" s="53"/>
      <c r="K67" s="53"/>
      <c r="L67" s="53">
        <f>SUM(L55:L66)</f>
        <v>0</v>
      </c>
      <c r="M67" s="53"/>
      <c r="N67" s="53">
        <f t="shared" si="28"/>
        <v>-25027</v>
      </c>
      <c r="O67" s="53">
        <f t="shared" si="22"/>
        <v>0</v>
      </c>
      <c r="P67" s="53"/>
      <c r="Q67" s="48">
        <f>SUM(Q55:Q66)</f>
        <v>25027</v>
      </c>
    </row>
    <row r="79" spans="1:17" x14ac:dyDescent="0.3">
      <c r="A79">
        <f>ACOS(E4/100)</f>
        <v>0.40602005059514723</v>
      </c>
      <c r="B79">
        <f>A79*(180/3.1416)</f>
        <v>23.263180897353738</v>
      </c>
    </row>
    <row r="80" spans="1:17" x14ac:dyDescent="0.3">
      <c r="A80">
        <f t="shared" ref="A79:A90" si="29">ACOS(E5/100)</f>
        <v>0.35311508800999891</v>
      </c>
      <c r="B80">
        <f t="shared" ref="B80:B90" si="30">A80*(180/3.1416)</f>
        <v>20.231956914247455</v>
      </c>
    </row>
    <row r="81" spans="1:2" x14ac:dyDescent="0.3">
      <c r="A81">
        <f t="shared" si="29"/>
        <v>0.33836095287452994</v>
      </c>
      <c r="B81">
        <f t="shared" si="30"/>
        <v>19.386609217410044</v>
      </c>
    </row>
    <row r="82" spans="1:2" x14ac:dyDescent="0.3">
      <c r="A82">
        <f t="shared" si="29"/>
        <v>0.31401851864982278</v>
      </c>
      <c r="B82">
        <f t="shared" si="30"/>
        <v>17.99189373471101</v>
      </c>
    </row>
    <row r="83" spans="1:2" x14ac:dyDescent="0.3">
      <c r="A83">
        <f t="shared" si="29"/>
        <v>0.24183564898036347</v>
      </c>
      <c r="B83">
        <f t="shared" si="30"/>
        <v>13.856129620723653</v>
      </c>
    </row>
    <row r="84" spans="1:2" x14ac:dyDescent="0.3">
      <c r="A84">
        <f t="shared" si="29"/>
        <v>0.27765809840057143</v>
      </c>
      <c r="B84">
        <f t="shared" si="30"/>
        <v>15.908599984753902</v>
      </c>
    </row>
    <row r="85" spans="1:2" x14ac:dyDescent="0.3">
      <c r="A85">
        <f t="shared" si="29"/>
        <v>0.31466536859162386</v>
      </c>
      <c r="B85">
        <f t="shared" si="30"/>
        <v>18.028955419688153</v>
      </c>
    </row>
    <row r="86" spans="1:2" x14ac:dyDescent="0.3">
      <c r="A86">
        <f t="shared" si="29"/>
        <v>0.40220522517403068</v>
      </c>
      <c r="B86">
        <f t="shared" si="30"/>
        <v>23.044608012263026</v>
      </c>
    </row>
    <row r="87" spans="1:2" x14ac:dyDescent="0.3">
      <c r="A87">
        <f t="shared" si="29"/>
        <v>1.266103672779499</v>
      </c>
      <c r="B87">
        <f t="shared" si="30"/>
        <v>72.542227240994976</v>
      </c>
    </row>
    <row r="88" spans="1:2" x14ac:dyDescent="0.3">
      <c r="A88">
        <f t="shared" si="29"/>
        <v>0.4654938567261615</v>
      </c>
      <c r="B88">
        <f t="shared" si="30"/>
        <v>26.670771011812157</v>
      </c>
    </row>
    <row r="89" spans="1:2" x14ac:dyDescent="0.3">
      <c r="A89">
        <f t="shared" si="29"/>
        <v>0.4450247762198869</v>
      </c>
      <c r="B89">
        <f t="shared" si="30"/>
        <v>25.497981830780382</v>
      </c>
    </row>
    <row r="90" spans="1:2" x14ac:dyDescent="0.3">
      <c r="A90">
        <f t="shared" si="29"/>
        <v>0.42339337923185338</v>
      </c>
      <c r="B90">
        <f t="shared" si="30"/>
        <v>24.258596976614978</v>
      </c>
    </row>
    <row r="96" spans="1:2" x14ac:dyDescent="0.3">
      <c r="A96">
        <f>SIN(A79)*$F$4</f>
        <v>1703.4455996363329</v>
      </c>
    </row>
    <row r="97" spans="1:1" x14ac:dyDescent="0.3">
      <c r="A97">
        <f t="shared" ref="A97:A107" si="31">SIN(A80)*$F$4</f>
        <v>1491.5318718799099</v>
      </c>
    </row>
    <row r="98" spans="1:1" x14ac:dyDescent="0.3">
      <c r="A98">
        <f t="shared" si="31"/>
        <v>1431.6633684220558</v>
      </c>
    </row>
    <row r="99" spans="1:1" x14ac:dyDescent="0.3">
      <c r="A99">
        <f t="shared" si="31"/>
        <v>1332.2129536630064</v>
      </c>
    </row>
    <row r="100" spans="1:1" x14ac:dyDescent="0.3">
      <c r="A100">
        <f t="shared" si="31"/>
        <v>1032.8999285657401</v>
      </c>
    </row>
    <row r="101" spans="1:1" x14ac:dyDescent="0.3">
      <c r="A101">
        <f t="shared" si="31"/>
        <v>1182.2113952646494</v>
      </c>
    </row>
    <row r="102" spans="1:1" x14ac:dyDescent="0.3">
      <c r="A102">
        <f t="shared" si="31"/>
        <v>1334.8661142283543</v>
      </c>
    </row>
    <row r="103" spans="1:1" x14ac:dyDescent="0.3">
      <c r="A103">
        <f t="shared" si="31"/>
        <v>1688.3175559500773</v>
      </c>
    </row>
    <row r="104" spans="1:1" x14ac:dyDescent="0.3">
      <c r="A104">
        <f t="shared" si="31"/>
        <v>4114.3397757112871</v>
      </c>
    </row>
    <row r="105" spans="1:1" x14ac:dyDescent="0.3">
      <c r="A105">
        <f t="shared" si="31"/>
        <v>1935.9511502694897</v>
      </c>
    </row>
    <row r="106" spans="1:1" x14ac:dyDescent="0.3">
      <c r="A106">
        <f t="shared" si="31"/>
        <v>1856.6612899959857</v>
      </c>
    </row>
    <row r="107" spans="1:1" x14ac:dyDescent="0.3">
      <c r="A107">
        <f t="shared" si="31"/>
        <v>1772.0243280845748</v>
      </c>
    </row>
  </sheetData>
  <phoneticPr fontId="4" type="noConversion"/>
  <pageMargins left="0.7" right="0.7" top="0.75" bottom="0.75" header="0.3" footer="0.3"/>
  <pageSetup paperSize="9" orientation="portrait" r:id="rId1"/>
  <ignoredErrors>
    <ignoredError sqref="Q41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D938-2B0F-466B-B750-4869EA2B5F74}">
  <dimension ref="F5:K19"/>
  <sheetViews>
    <sheetView topLeftCell="E1" workbookViewId="0">
      <selection activeCell="J20" sqref="J20"/>
    </sheetView>
  </sheetViews>
  <sheetFormatPr baseColWidth="10" defaultRowHeight="14.4" x14ac:dyDescent="0.3"/>
  <cols>
    <col min="7" max="7" width="15.21875" customWidth="1"/>
    <col min="8" max="8" width="18.5546875" customWidth="1"/>
    <col min="9" max="9" width="11.5546875" style="12"/>
    <col min="11" max="11" width="14.88671875" customWidth="1"/>
  </cols>
  <sheetData>
    <row r="5" spans="6:11" ht="28.8" x14ac:dyDescent="0.3">
      <c r="F5" s="13" t="s">
        <v>50</v>
      </c>
      <c r="G5" s="14" t="s">
        <v>51</v>
      </c>
      <c r="H5" s="14" t="s">
        <v>52</v>
      </c>
      <c r="I5" s="14" t="s">
        <v>53</v>
      </c>
      <c r="J5" s="14" t="s">
        <v>54</v>
      </c>
      <c r="K5" s="14" t="s">
        <v>55</v>
      </c>
    </row>
    <row r="6" spans="6:11" x14ac:dyDescent="0.3">
      <c r="F6" t="s">
        <v>56</v>
      </c>
      <c r="G6">
        <f>'CON FACTOR DE POTENCIA '!D4</f>
        <v>3962</v>
      </c>
      <c r="H6">
        <v>1355</v>
      </c>
      <c r="I6" s="11">
        <f>'CON FACTOR DE POTENCIA '!R21</f>
        <v>13319.77328341296</v>
      </c>
      <c r="J6" s="15">
        <f>'CON FACTOR DE POTENCIA '!R37</f>
        <v>7633.2519571305584</v>
      </c>
      <c r="K6" s="11">
        <f>I6-J6</f>
        <v>5686.5213262824018</v>
      </c>
    </row>
    <row r="7" spans="6:11" x14ac:dyDescent="0.3">
      <c r="F7" s="20" t="s">
        <v>57</v>
      </c>
      <c r="G7" s="20">
        <f>'CON FACTOR DE POTENCIA '!D5</f>
        <v>3314</v>
      </c>
      <c r="H7" s="20">
        <v>1471</v>
      </c>
      <c r="I7" s="11">
        <f>'CON FACTOR DE POTENCIA '!R22</f>
        <v>11564.660134092961</v>
      </c>
      <c r="J7" s="22">
        <f>'CON FACTOR DE POTENCIA '!R38</f>
        <v>5895.7953851412003</v>
      </c>
      <c r="K7" s="21">
        <f t="shared" ref="K7:K17" si="0">I7-J7</f>
        <v>5668.8647489517607</v>
      </c>
    </row>
    <row r="8" spans="6:11" x14ac:dyDescent="0.3">
      <c r="F8" t="s">
        <v>58</v>
      </c>
      <c r="G8">
        <f>'CON FACTOR DE POTENCIA '!D6</f>
        <v>3786</v>
      </c>
      <c r="H8">
        <v>1907</v>
      </c>
      <c r="I8" s="11">
        <f>'CON FACTOR DE POTENCIA '!R23</f>
        <v>12943.637651455199</v>
      </c>
      <c r="J8" s="15">
        <f>'CON FACTOR DE POTENCIA '!R39</f>
        <v>5336.9122394280002</v>
      </c>
      <c r="K8" s="11">
        <f t="shared" si="0"/>
        <v>7606.7254120271991</v>
      </c>
    </row>
    <row r="9" spans="6:11" x14ac:dyDescent="0.3">
      <c r="F9" s="20" t="s">
        <v>59</v>
      </c>
      <c r="G9" s="20">
        <f>'CON FACTOR DE POTENCIA '!D7</f>
        <v>4501</v>
      </c>
      <c r="H9" s="20">
        <v>1965</v>
      </c>
      <c r="I9" s="11">
        <f>'CON FACTOR DE POTENCIA '!R24</f>
        <v>14707.840889182798</v>
      </c>
      <c r="J9" s="22">
        <f>'CON FACTOR DE POTENCIA '!R40</f>
        <v>7462.1298423383996</v>
      </c>
      <c r="K9" s="21">
        <f t="shared" si="0"/>
        <v>7245.7110468443989</v>
      </c>
    </row>
    <row r="10" spans="6:11" x14ac:dyDescent="0.3">
      <c r="F10" t="s">
        <v>60</v>
      </c>
      <c r="G10">
        <f>'CON FACTOR DE POTENCIA '!D8</f>
        <v>5288</v>
      </c>
      <c r="H10">
        <v>2095</v>
      </c>
      <c r="I10" s="11">
        <f>'CON FACTOR DE POTENCIA '!R25</f>
        <v>17145.796901809917</v>
      </c>
      <c r="J10" s="15">
        <f>'CON FACTOR DE POTENCIA '!R41</f>
        <v>10496.70115828224</v>
      </c>
      <c r="K10" s="11">
        <f t="shared" si="0"/>
        <v>6649.0957435276778</v>
      </c>
    </row>
    <row r="11" spans="6:11" x14ac:dyDescent="0.3">
      <c r="F11" s="20" t="s">
        <v>61</v>
      </c>
      <c r="G11" s="20">
        <f>'CON FACTOR DE POTENCIA '!D9</f>
        <v>5708</v>
      </c>
      <c r="H11" s="20">
        <v>1873</v>
      </c>
      <c r="I11" s="11">
        <f>'CON FACTOR DE POTENCIA '!R26</f>
        <v>18485.321955027841</v>
      </c>
      <c r="J11" s="22">
        <f>'CON FACTOR DE POTENCIA '!R42</f>
        <v>13156.375485127199</v>
      </c>
      <c r="K11" s="21">
        <f t="shared" si="0"/>
        <v>5328.9464699006421</v>
      </c>
    </row>
    <row r="12" spans="6:11" x14ac:dyDescent="0.3">
      <c r="F12" t="s">
        <v>62</v>
      </c>
      <c r="G12">
        <f>'CON FACTOR DE POTENCIA '!D10</f>
        <v>3472</v>
      </c>
      <c r="H12">
        <v>1727</v>
      </c>
      <c r="I12" s="11">
        <f>'CON FACTOR DE POTENCIA '!R27</f>
        <v>11788.682171485438</v>
      </c>
      <c r="J12" s="15">
        <f>'CON FACTOR DE POTENCIA '!R43</f>
        <v>6764.3304339290407</v>
      </c>
      <c r="K12" s="11">
        <f t="shared" si="0"/>
        <v>5024.351737556397</v>
      </c>
    </row>
    <row r="13" spans="6:11" x14ac:dyDescent="0.3">
      <c r="F13" s="20" t="s">
        <v>63</v>
      </c>
      <c r="G13" s="20">
        <f>'CON FACTOR DE POTENCIA '!D11</f>
        <v>4207</v>
      </c>
      <c r="H13" s="20">
        <v>1642</v>
      </c>
      <c r="I13" s="11">
        <f>'CON FACTOR DE POTENCIA '!R28</f>
        <v>13721.194741690801</v>
      </c>
      <c r="J13" s="22">
        <f>'CON FACTOR DE POTENCIA '!R44</f>
        <v>8812.4033766067187</v>
      </c>
      <c r="K13" s="21">
        <f t="shared" si="0"/>
        <v>4908.7913650840819</v>
      </c>
    </row>
    <row r="14" spans="6:11" x14ac:dyDescent="0.3">
      <c r="F14" t="s">
        <v>64</v>
      </c>
      <c r="G14">
        <f>'CON FACTOR DE POTENCIA '!D12</f>
        <v>4760</v>
      </c>
      <c r="H14">
        <v>1527</v>
      </c>
      <c r="I14" s="11">
        <f>'CON FACTOR DE POTENCIA '!R29</f>
        <v>36484.625126399995</v>
      </c>
      <c r="J14" s="15">
        <f>'CON FACTOR DE POTENCIA '!R45</f>
        <v>23260.5571968</v>
      </c>
      <c r="K14" s="11">
        <f t="shared" si="0"/>
        <v>13224.067929599994</v>
      </c>
    </row>
    <row r="15" spans="6:11" x14ac:dyDescent="0.3">
      <c r="F15" s="20" t="s">
        <v>65</v>
      </c>
      <c r="G15" s="20">
        <f>'CON FACTOR DE POTENCIA '!D13</f>
        <v>3989</v>
      </c>
      <c r="H15" s="20">
        <v>1671</v>
      </c>
      <c r="I15" s="11">
        <f>'CON FACTOR DE POTENCIA '!R30</f>
        <v>13490.891174299439</v>
      </c>
      <c r="J15" s="22">
        <f>'CON FACTOR DE POTENCIA '!R46</f>
        <v>8142.4657224359989</v>
      </c>
      <c r="K15" s="21">
        <f t="shared" si="0"/>
        <v>5348.4254518634398</v>
      </c>
    </row>
    <row r="16" spans="6:11" x14ac:dyDescent="0.3">
      <c r="F16" t="s">
        <v>66</v>
      </c>
      <c r="G16">
        <f>'CON FACTOR DE POTENCIA '!D14</f>
        <v>4366</v>
      </c>
      <c r="H16">
        <v>1412</v>
      </c>
      <c r="I16" s="11">
        <f>'CON FACTOR DE POTENCIA '!R31</f>
        <v>14671.985089539839</v>
      </c>
      <c r="J16" s="15">
        <f>'CON FACTOR DE POTENCIA '!R47</f>
        <v>9134.4591773899192</v>
      </c>
      <c r="K16" s="11">
        <f t="shared" si="0"/>
        <v>5537.5259121499203</v>
      </c>
    </row>
    <row r="17" spans="6:11" x14ac:dyDescent="0.3">
      <c r="F17" s="20" t="s">
        <v>67</v>
      </c>
      <c r="G17" s="20">
        <f>'CON FACTOR DE POTENCIA '!D15</f>
        <v>3088</v>
      </c>
      <c r="H17" s="20">
        <v>1316</v>
      </c>
      <c r="I17" s="11">
        <f>'CON FACTOR DE POTENCIA '!R32</f>
        <v>10651.240747081922</v>
      </c>
      <c r="J17" s="22">
        <f>'CON FACTOR DE POTENCIA '!R48</f>
        <v>5465.3445294566382</v>
      </c>
      <c r="K17" s="21">
        <f t="shared" si="0"/>
        <v>5185.8962176252835</v>
      </c>
    </row>
    <row r="18" spans="6:11" x14ac:dyDescent="0.3">
      <c r="F18" s="65" t="s">
        <v>68</v>
      </c>
      <c r="G18" s="24"/>
      <c r="H18" s="16"/>
      <c r="I18" s="23"/>
      <c r="J18" s="66"/>
      <c r="K18" s="67">
        <f>SUM(K6:K17)</f>
        <v>77414.923361413195</v>
      </c>
    </row>
    <row r="19" spans="6:11" x14ac:dyDescent="0.3">
      <c r="F19" s="65" t="s">
        <v>98</v>
      </c>
      <c r="G19" s="64"/>
      <c r="J19" s="68">
        <f>'COTIZACIÓN '!E11/'tabla general'!K18</f>
        <v>3.7599355183897774</v>
      </c>
      <c r="K19" s="68" t="s">
        <v>99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62EB-563C-4014-A0B1-8664979D1A16}">
  <dimension ref="C5:J19"/>
  <sheetViews>
    <sheetView zoomScale="72" workbookViewId="0">
      <selection activeCell="E16" sqref="E16:E17"/>
    </sheetView>
  </sheetViews>
  <sheetFormatPr baseColWidth="10" defaultRowHeight="14.4" x14ac:dyDescent="0.3"/>
  <cols>
    <col min="3" max="3" width="47.44140625" customWidth="1"/>
    <col min="4" max="4" width="13.77734375" customWidth="1"/>
    <col min="5" max="5" width="14.6640625" customWidth="1"/>
    <col min="7" max="7" width="15.44140625" customWidth="1"/>
    <col min="8" max="8" width="18.6640625" customWidth="1"/>
    <col min="9" max="9" width="17.88671875" customWidth="1"/>
    <col min="10" max="10" width="15.5546875" customWidth="1"/>
  </cols>
  <sheetData>
    <row r="5" spans="3:10" ht="15" thickBot="1" x14ac:dyDescent="0.35">
      <c r="C5" s="33" t="s">
        <v>73</v>
      </c>
      <c r="D5" s="34" t="s">
        <v>79</v>
      </c>
      <c r="E5" s="34"/>
      <c r="F5" s="35"/>
      <c r="H5" s="62" t="s">
        <v>100</v>
      </c>
      <c r="J5" s="62" t="s">
        <v>80</v>
      </c>
    </row>
    <row r="6" spans="3:10" x14ac:dyDescent="0.3">
      <c r="C6" s="31" t="s">
        <v>74</v>
      </c>
      <c r="D6" s="19"/>
      <c r="E6" s="19">
        <f>'CON FACTOR DE POTENCIA '!AB5*1000</f>
        <v>16740</v>
      </c>
      <c r="F6" s="32" t="s">
        <v>81</v>
      </c>
      <c r="H6" s="10">
        <f>E11</f>
        <v>291075.12</v>
      </c>
      <c r="J6" s="1">
        <v>19.32</v>
      </c>
    </row>
    <row r="7" spans="3:10" x14ac:dyDescent="0.3">
      <c r="C7" s="27" t="s">
        <v>78</v>
      </c>
      <c r="D7" s="16"/>
      <c r="E7" s="117">
        <f>H9</f>
        <v>0.9</v>
      </c>
      <c r="F7" s="28"/>
    </row>
    <row r="8" spans="3:10" x14ac:dyDescent="0.3">
      <c r="C8" s="36" t="s">
        <v>82</v>
      </c>
      <c r="D8" s="119" t="s">
        <v>83</v>
      </c>
      <c r="E8" s="118">
        <f>(E6*E7)/1.16</f>
        <v>12987.931034482759</v>
      </c>
      <c r="F8" s="26"/>
      <c r="H8" s="62" t="s">
        <v>97</v>
      </c>
    </row>
    <row r="9" spans="3:10" x14ac:dyDescent="0.3">
      <c r="C9" s="27" t="s">
        <v>75</v>
      </c>
      <c r="D9" s="16"/>
      <c r="E9" s="18">
        <f>E8*J6</f>
        <v>250926.8275862069</v>
      </c>
      <c r="F9" s="28"/>
      <c r="H9" s="10">
        <v>0.9</v>
      </c>
    </row>
    <row r="10" spans="3:10" x14ac:dyDescent="0.3">
      <c r="C10" s="27" t="s">
        <v>76</v>
      </c>
      <c r="D10" s="16"/>
      <c r="E10" s="17">
        <f>E9*0.16</f>
        <v>40148.292413793104</v>
      </c>
      <c r="F10" s="28"/>
    </row>
    <row r="11" spans="3:10" x14ac:dyDescent="0.3">
      <c r="C11" s="27" t="s">
        <v>77</v>
      </c>
      <c r="D11" s="16"/>
      <c r="E11" s="17">
        <f>SUM(E9:E10)</f>
        <v>291075.12</v>
      </c>
      <c r="F11" s="28"/>
      <c r="H11" s="63"/>
    </row>
    <row r="12" spans="3:10" x14ac:dyDescent="0.3">
      <c r="C12" s="29"/>
      <c r="D12" s="25"/>
      <c r="E12" s="25"/>
      <c r="F12" s="30"/>
      <c r="H12" s="63"/>
      <c r="J12" s="11"/>
    </row>
    <row r="13" spans="3:10" x14ac:dyDescent="0.3">
      <c r="H13" s="63"/>
    </row>
    <row r="14" spans="3:10" x14ac:dyDescent="0.3">
      <c r="H14" s="63"/>
    </row>
    <row r="15" spans="3:10" x14ac:dyDescent="0.3">
      <c r="H15" s="63"/>
    </row>
    <row r="16" spans="3:10" x14ac:dyDescent="0.3">
      <c r="H16" s="63"/>
    </row>
    <row r="17" spans="8:8" x14ac:dyDescent="0.3">
      <c r="H17" s="63"/>
    </row>
    <row r="18" spans="8:8" x14ac:dyDescent="0.3">
      <c r="H18" s="63"/>
    </row>
    <row r="19" spans="8:8" x14ac:dyDescent="0.3">
      <c r="H19" s="6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CF67-6480-4578-9FE7-0EE808DDCB17}">
  <dimension ref="G2:K29"/>
  <sheetViews>
    <sheetView topLeftCell="A3" workbookViewId="0">
      <selection activeCell="I4" sqref="I4"/>
    </sheetView>
  </sheetViews>
  <sheetFormatPr baseColWidth="10" defaultRowHeight="14.4" x14ac:dyDescent="0.3"/>
  <cols>
    <col min="8" max="8" width="17.77734375" customWidth="1"/>
    <col min="9" max="9" width="16" customWidth="1"/>
    <col min="10" max="10" width="20.44140625" customWidth="1"/>
    <col min="11" max="11" width="22.109375" customWidth="1"/>
  </cols>
  <sheetData>
    <row r="2" spans="7:11" ht="15" thickBot="1" x14ac:dyDescent="0.35"/>
    <row r="3" spans="7:11" ht="30" thickTop="1" thickBot="1" x14ac:dyDescent="0.35">
      <c r="G3" s="75" t="s">
        <v>69</v>
      </c>
      <c r="H3" s="75" t="s">
        <v>70</v>
      </c>
      <c r="I3" s="76" t="s">
        <v>72</v>
      </c>
      <c r="J3" s="77"/>
      <c r="K3" s="75" t="s">
        <v>71</v>
      </c>
    </row>
    <row r="4" spans="7:11" ht="15.6" thickTop="1" thickBot="1" x14ac:dyDescent="0.35">
      <c r="G4" s="77">
        <v>1</v>
      </c>
      <c r="H4" s="78">
        <f>'tabla general'!K18</f>
        <v>77414.923361413195</v>
      </c>
      <c r="I4" s="78">
        <f>H4</f>
        <v>77414.923361413195</v>
      </c>
      <c r="J4" s="77"/>
      <c r="K4" s="77">
        <v>5</v>
      </c>
    </row>
    <row r="5" spans="7:11" ht="15.6" thickTop="1" thickBot="1" x14ac:dyDescent="0.35">
      <c r="G5" s="77">
        <v>2</v>
      </c>
      <c r="H5" s="78">
        <f t="shared" ref="H5:H28" si="0">H4*(1+($K$4/100))</f>
        <v>81285.669529483857</v>
      </c>
      <c r="I5" s="78">
        <f>I4+H5</f>
        <v>158700.59289089707</v>
      </c>
      <c r="J5" s="77"/>
      <c r="K5" s="77"/>
    </row>
    <row r="6" spans="7:11" ht="15.6" thickTop="1" thickBot="1" x14ac:dyDescent="0.35">
      <c r="G6" s="77">
        <v>3</v>
      </c>
      <c r="H6" s="78">
        <f t="shared" si="0"/>
        <v>85349.953005958057</v>
      </c>
      <c r="I6" s="78">
        <f>I5+H6</f>
        <v>244050.54589685512</v>
      </c>
      <c r="J6" s="77"/>
      <c r="K6" s="77"/>
    </row>
    <row r="7" spans="7:11" ht="15.6" thickTop="1" thickBot="1" x14ac:dyDescent="0.35">
      <c r="G7" s="77">
        <v>4</v>
      </c>
      <c r="H7" s="78">
        <f t="shared" si="0"/>
        <v>89617.450656255969</v>
      </c>
      <c r="I7" s="78">
        <f t="shared" ref="I7:I28" si="1">I6+H7</f>
        <v>333667.99655311112</v>
      </c>
      <c r="J7" s="77"/>
      <c r="K7" s="77"/>
    </row>
    <row r="8" spans="7:11" ht="15.6" thickTop="1" thickBot="1" x14ac:dyDescent="0.35">
      <c r="G8" s="77">
        <v>5</v>
      </c>
      <c r="H8" s="78">
        <f t="shared" si="0"/>
        <v>94098.323189068775</v>
      </c>
      <c r="I8" s="78">
        <f t="shared" si="1"/>
        <v>427766.31974217988</v>
      </c>
      <c r="J8" s="77"/>
      <c r="K8" s="77"/>
    </row>
    <row r="9" spans="7:11" ht="15.6" thickTop="1" thickBot="1" x14ac:dyDescent="0.35">
      <c r="G9" s="77">
        <v>6</v>
      </c>
      <c r="H9" s="78">
        <f t="shared" si="0"/>
        <v>98803.239348522213</v>
      </c>
      <c r="I9" s="78">
        <f t="shared" si="1"/>
        <v>526569.5590907021</v>
      </c>
      <c r="J9" s="77"/>
      <c r="K9" s="77"/>
    </row>
    <row r="10" spans="7:11" ht="15.6" thickTop="1" thickBot="1" x14ac:dyDescent="0.35">
      <c r="G10" s="77">
        <v>7</v>
      </c>
      <c r="H10" s="78">
        <f t="shared" si="0"/>
        <v>103743.40131594833</v>
      </c>
      <c r="I10" s="78">
        <f t="shared" si="1"/>
        <v>630312.96040665044</v>
      </c>
      <c r="J10" s="77"/>
      <c r="K10" s="77"/>
    </row>
    <row r="11" spans="7:11" ht="15.6" thickTop="1" thickBot="1" x14ac:dyDescent="0.35">
      <c r="G11" s="77">
        <v>8</v>
      </c>
      <c r="H11" s="78">
        <f t="shared" si="0"/>
        <v>108930.57138174574</v>
      </c>
      <c r="I11" s="78">
        <f t="shared" si="1"/>
        <v>739243.53178839618</v>
      </c>
      <c r="J11" s="77"/>
      <c r="K11" s="77"/>
    </row>
    <row r="12" spans="7:11" ht="15.6" thickTop="1" thickBot="1" x14ac:dyDescent="0.35">
      <c r="G12" s="77">
        <v>9</v>
      </c>
      <c r="H12" s="78">
        <f t="shared" si="0"/>
        <v>114377.09995083304</v>
      </c>
      <c r="I12" s="78">
        <f t="shared" si="1"/>
        <v>853620.6317392292</v>
      </c>
      <c r="J12" s="77"/>
      <c r="K12" s="77"/>
    </row>
    <row r="13" spans="7:11" ht="15.6" thickTop="1" thickBot="1" x14ac:dyDescent="0.35">
      <c r="G13" s="77">
        <v>10</v>
      </c>
      <c r="H13" s="78">
        <f t="shared" si="0"/>
        <v>120095.9549483747</v>
      </c>
      <c r="I13" s="78">
        <f t="shared" si="1"/>
        <v>973716.58668760385</v>
      </c>
      <c r="J13" s="77"/>
      <c r="K13" s="77"/>
    </row>
    <row r="14" spans="7:11" ht="15.6" thickTop="1" thickBot="1" x14ac:dyDescent="0.35">
      <c r="G14" s="77">
        <v>11</v>
      </c>
      <c r="H14" s="78">
        <f t="shared" si="0"/>
        <v>126100.75269579343</v>
      </c>
      <c r="I14" s="78">
        <f t="shared" si="1"/>
        <v>1099817.3393833973</v>
      </c>
      <c r="J14" s="77"/>
      <c r="K14" s="77"/>
    </row>
    <row r="15" spans="7:11" ht="15.6" thickTop="1" thickBot="1" x14ac:dyDescent="0.35">
      <c r="G15" s="77">
        <v>12</v>
      </c>
      <c r="H15" s="78">
        <f t="shared" si="0"/>
        <v>132405.79033058311</v>
      </c>
      <c r="I15" s="78">
        <f t="shared" si="1"/>
        <v>1232223.1297139805</v>
      </c>
      <c r="J15" s="77"/>
      <c r="K15" s="77"/>
    </row>
    <row r="16" spans="7:11" ht="15.6" thickTop="1" thickBot="1" x14ac:dyDescent="0.35">
      <c r="G16" s="77">
        <v>13</v>
      </c>
      <c r="H16" s="78">
        <f t="shared" si="0"/>
        <v>139026.07984711227</v>
      </c>
      <c r="I16" s="78">
        <f t="shared" si="1"/>
        <v>1371249.2095610928</v>
      </c>
      <c r="J16" s="77"/>
      <c r="K16" s="77"/>
    </row>
    <row r="17" spans="7:11" ht="15.6" thickTop="1" thickBot="1" x14ac:dyDescent="0.35">
      <c r="G17" s="77">
        <v>14</v>
      </c>
      <c r="H17" s="78">
        <f t="shared" si="0"/>
        <v>145977.38383946789</v>
      </c>
      <c r="I17" s="78">
        <f t="shared" si="1"/>
        <v>1517226.5934005608</v>
      </c>
      <c r="J17" s="77"/>
      <c r="K17" s="77"/>
    </row>
    <row r="18" spans="7:11" ht="15.6" thickTop="1" thickBot="1" x14ac:dyDescent="0.35">
      <c r="G18" s="77">
        <v>15</v>
      </c>
      <c r="H18" s="78">
        <f t="shared" si="0"/>
        <v>153276.2530314413</v>
      </c>
      <c r="I18" s="78">
        <f t="shared" si="1"/>
        <v>1670502.846432002</v>
      </c>
      <c r="J18" s="77"/>
      <c r="K18" s="77"/>
    </row>
    <row r="19" spans="7:11" ht="15.6" thickTop="1" thickBot="1" x14ac:dyDescent="0.35">
      <c r="G19" s="77">
        <v>16</v>
      </c>
      <c r="H19" s="78">
        <f t="shared" si="0"/>
        <v>160940.06568301338</v>
      </c>
      <c r="I19" s="78">
        <f t="shared" si="1"/>
        <v>1831442.9121150153</v>
      </c>
      <c r="J19" s="77"/>
      <c r="K19" s="77"/>
    </row>
    <row r="20" spans="7:11" ht="15.6" thickTop="1" thickBot="1" x14ac:dyDescent="0.35">
      <c r="G20" s="77">
        <v>17</v>
      </c>
      <c r="H20" s="78">
        <f t="shared" si="0"/>
        <v>168987.06896716406</v>
      </c>
      <c r="I20" s="78">
        <f t="shared" si="1"/>
        <v>2000429.9810821794</v>
      </c>
      <c r="J20" s="77"/>
      <c r="K20" s="77"/>
    </row>
    <row r="21" spans="7:11" ht="15.6" thickTop="1" thickBot="1" x14ac:dyDescent="0.35">
      <c r="G21" s="77">
        <v>18</v>
      </c>
      <c r="H21" s="78">
        <f t="shared" si="0"/>
        <v>177436.42241552228</v>
      </c>
      <c r="I21" s="78">
        <f t="shared" si="1"/>
        <v>2177866.4034977015</v>
      </c>
      <c r="J21" s="77"/>
      <c r="K21" s="77"/>
    </row>
    <row r="22" spans="7:11" ht="15.6" thickTop="1" thickBot="1" x14ac:dyDescent="0.35">
      <c r="G22" s="77">
        <v>19</v>
      </c>
      <c r="H22" s="78">
        <f t="shared" si="0"/>
        <v>186308.2435362984</v>
      </c>
      <c r="I22" s="78">
        <f t="shared" si="1"/>
        <v>2364174.6470339997</v>
      </c>
      <c r="J22" s="77"/>
      <c r="K22" s="77"/>
    </row>
    <row r="23" spans="7:11" ht="15.6" thickTop="1" thickBot="1" x14ac:dyDescent="0.35">
      <c r="G23" s="77">
        <v>20</v>
      </c>
      <c r="H23" s="78">
        <f t="shared" si="0"/>
        <v>195623.65571311332</v>
      </c>
      <c r="I23" s="78">
        <f t="shared" si="1"/>
        <v>2559798.3027471132</v>
      </c>
      <c r="J23" s="77"/>
      <c r="K23" s="77"/>
    </row>
    <row r="24" spans="7:11" ht="15.6" thickTop="1" thickBot="1" x14ac:dyDescent="0.35">
      <c r="G24" s="77">
        <v>21</v>
      </c>
      <c r="H24" s="78">
        <f t="shared" si="0"/>
        <v>205404.83849876898</v>
      </c>
      <c r="I24" s="78">
        <f t="shared" si="1"/>
        <v>2765203.141245882</v>
      </c>
      <c r="J24" s="77"/>
      <c r="K24" s="77"/>
    </row>
    <row r="25" spans="7:11" ht="15.6" thickTop="1" thickBot="1" x14ac:dyDescent="0.35">
      <c r="G25" s="77">
        <v>22</v>
      </c>
      <c r="H25" s="78">
        <f t="shared" si="0"/>
        <v>215675.08042370743</v>
      </c>
      <c r="I25" s="78">
        <f t="shared" si="1"/>
        <v>2980878.2216695896</v>
      </c>
      <c r="J25" s="77"/>
      <c r="K25" s="77"/>
    </row>
    <row r="26" spans="7:11" ht="15.6" thickTop="1" thickBot="1" x14ac:dyDescent="0.35">
      <c r="G26" s="77">
        <v>23</v>
      </c>
      <c r="H26" s="78">
        <f t="shared" si="0"/>
        <v>226458.83444489283</v>
      </c>
      <c r="I26" s="78">
        <f t="shared" si="1"/>
        <v>3207337.0561144827</v>
      </c>
      <c r="J26" s="77"/>
      <c r="K26" s="77"/>
    </row>
    <row r="27" spans="7:11" ht="15.6" thickTop="1" thickBot="1" x14ac:dyDescent="0.35">
      <c r="G27" s="77">
        <v>24</v>
      </c>
      <c r="H27" s="78">
        <f t="shared" si="0"/>
        <v>237781.77616713749</v>
      </c>
      <c r="I27" s="78">
        <f t="shared" si="1"/>
        <v>3445118.8322816202</v>
      </c>
      <c r="J27" s="77"/>
      <c r="K27" s="77"/>
    </row>
    <row r="28" spans="7:11" ht="15.6" thickTop="1" thickBot="1" x14ac:dyDescent="0.35">
      <c r="G28" s="77">
        <v>25</v>
      </c>
      <c r="H28" s="78">
        <f t="shared" si="0"/>
        <v>249670.86497549436</v>
      </c>
      <c r="I28" s="78">
        <f t="shared" si="1"/>
        <v>3694789.6972571146</v>
      </c>
      <c r="J28" s="77"/>
      <c r="K28" s="77"/>
    </row>
    <row r="29" spans="7:11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FP</vt:lpstr>
      <vt:lpstr>CON FACTOR DE POTENCIA </vt:lpstr>
      <vt:lpstr>tabla general</vt:lpstr>
      <vt:lpstr>COTIZACIÓN </vt:lpstr>
      <vt:lpstr>ROI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Gonzalez</dc:creator>
  <cp:lastModifiedBy>Alan González</cp:lastModifiedBy>
  <dcterms:created xsi:type="dcterms:W3CDTF">2015-06-05T18:17:20Z</dcterms:created>
  <dcterms:modified xsi:type="dcterms:W3CDTF">2025-08-09T08:24:28Z</dcterms:modified>
</cp:coreProperties>
</file>