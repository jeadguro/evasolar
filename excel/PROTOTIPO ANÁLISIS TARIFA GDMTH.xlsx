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ana\OneDrive\Desktop\Documentos Respaldo\PROYECTO PROGRAMA DIMENSIONAMIENTO, TARIFAS Y EXPLOSIÓN DE INSUMOS\"/>
    </mc:Choice>
  </mc:AlternateContent>
  <xr:revisionPtr revIDLastSave="0" documentId="13_ncr:1_{B930F37B-B2AF-4875-9722-092B11D145F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P" sheetId="3" r:id="rId1"/>
    <sheet name="CON FACTOR DE POTENCIA " sheetId="2" r:id="rId2"/>
    <sheet name="tabla general" sheetId="4" r:id="rId3"/>
    <sheet name="COTIZACIÓN " sheetId="5" r:id="rId4"/>
    <sheet name="ROI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H8" i="4"/>
  <c r="H9" i="4"/>
  <c r="H10" i="4"/>
  <c r="H11" i="4"/>
  <c r="H12" i="4"/>
  <c r="H13" i="4"/>
  <c r="H14" i="4"/>
  <c r="H15" i="4"/>
  <c r="H16" i="4"/>
  <c r="H17" i="4"/>
  <c r="H6" i="4"/>
  <c r="D15" i="5"/>
  <c r="D14" i="5"/>
  <c r="AE20" i="2"/>
  <c r="AA4" i="2"/>
  <c r="G10" i="2"/>
  <c r="K120" i="2"/>
  <c r="K121" i="2"/>
  <c r="K128" i="2"/>
  <c r="K129" i="2"/>
  <c r="J119" i="2"/>
  <c r="K119" i="2" s="1"/>
  <c r="J120" i="2"/>
  <c r="J121" i="2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J129" i="2"/>
  <c r="J118" i="2"/>
  <c r="K118" i="2" s="1"/>
  <c r="N98" i="2"/>
  <c r="L87" i="2"/>
  <c r="L88" i="2"/>
  <c r="L89" i="2"/>
  <c r="L90" i="2"/>
  <c r="L91" i="2"/>
  <c r="L92" i="2"/>
  <c r="L93" i="2"/>
  <c r="L94" i="2"/>
  <c r="L95" i="2"/>
  <c r="L96" i="2"/>
  <c r="L97" i="2"/>
  <c r="L86" i="2"/>
  <c r="K72" i="2"/>
  <c r="K73" i="2"/>
  <c r="K74" i="2"/>
  <c r="K75" i="2"/>
  <c r="K76" i="2"/>
  <c r="K77" i="2"/>
  <c r="K78" i="2"/>
  <c r="K79" i="2"/>
  <c r="K80" i="2"/>
  <c r="K81" i="2"/>
  <c r="K82" i="2"/>
  <c r="K71" i="2"/>
  <c r="N22" i="2"/>
  <c r="O22" i="2"/>
  <c r="P22" i="2"/>
  <c r="N23" i="2"/>
  <c r="O23" i="2"/>
  <c r="P23" i="2"/>
  <c r="N24" i="2"/>
  <c r="O24" i="2"/>
  <c r="P24" i="2"/>
  <c r="N25" i="2"/>
  <c r="O25" i="2"/>
  <c r="P25" i="2"/>
  <c r="N26" i="2"/>
  <c r="O26" i="2"/>
  <c r="P26" i="2"/>
  <c r="N27" i="2"/>
  <c r="O27" i="2"/>
  <c r="P27" i="2"/>
  <c r="N28" i="2"/>
  <c r="O28" i="2"/>
  <c r="P28" i="2"/>
  <c r="N29" i="2"/>
  <c r="O29" i="2"/>
  <c r="P29" i="2"/>
  <c r="N30" i="2"/>
  <c r="O30" i="2"/>
  <c r="P30" i="2"/>
  <c r="N31" i="2"/>
  <c r="O31" i="2"/>
  <c r="P31" i="2"/>
  <c r="N32" i="2"/>
  <c r="O32" i="2"/>
  <c r="P32" i="2"/>
  <c r="O21" i="2"/>
  <c r="P21" i="2"/>
  <c r="N21" i="2"/>
  <c r="G5" i="2"/>
  <c r="L5" i="2" s="1"/>
  <c r="X22" i="2" s="1"/>
  <c r="G6" i="2"/>
  <c r="G7" i="2"/>
  <c r="L7" i="2" s="1"/>
  <c r="X24" i="2" s="1"/>
  <c r="G8" i="2"/>
  <c r="G11" i="3" s="1"/>
  <c r="G9" i="2"/>
  <c r="G12" i="3" s="1"/>
  <c r="G11" i="2"/>
  <c r="G14" i="3" s="1"/>
  <c r="G12" i="2"/>
  <c r="G13" i="2"/>
  <c r="L13" i="2" s="1"/>
  <c r="X30" i="2" s="1"/>
  <c r="G14" i="2"/>
  <c r="G17" i="3" s="1"/>
  <c r="G15" i="2"/>
  <c r="G17" i="4" s="1"/>
  <c r="G4" i="2"/>
  <c r="L4" i="2" s="1"/>
  <c r="X21" i="2" s="1"/>
  <c r="AA5" i="2"/>
  <c r="AA6" i="2"/>
  <c r="AA7" i="2"/>
  <c r="AA8" i="2"/>
  <c r="AA9" i="2"/>
  <c r="AA10" i="2"/>
  <c r="AA11" i="2"/>
  <c r="AA12" i="2"/>
  <c r="AA13" i="2"/>
  <c r="AA14" i="2"/>
  <c r="AA15" i="2"/>
  <c r="A79" i="2"/>
  <c r="B79" i="2" s="1"/>
  <c r="A80" i="2"/>
  <c r="B80" i="2" s="1"/>
  <c r="A81" i="2"/>
  <c r="B81" i="2" s="1"/>
  <c r="A82" i="2"/>
  <c r="B82" i="2" s="1"/>
  <c r="A83" i="2"/>
  <c r="B83" i="2" s="1"/>
  <c r="A84" i="2"/>
  <c r="A85" i="2"/>
  <c r="A86" i="2"/>
  <c r="B86" i="2" s="1"/>
  <c r="A87" i="2"/>
  <c r="B87" i="2" s="1"/>
  <c r="A88" i="2"/>
  <c r="B88" i="2" s="1"/>
  <c r="A89" i="2"/>
  <c r="B89" i="2" s="1"/>
  <c r="A90" i="2"/>
  <c r="B90" i="2" s="1"/>
  <c r="AG5" i="2"/>
  <c r="S13" i="2" s="1"/>
  <c r="J80" i="2" s="1"/>
  <c r="E7" i="5"/>
  <c r="H8" i="3"/>
  <c r="B8" i="3" s="1"/>
  <c r="C8" i="3" s="1"/>
  <c r="H9" i="3"/>
  <c r="B9" i="3" s="1"/>
  <c r="C9" i="3" s="1"/>
  <c r="H10" i="3"/>
  <c r="N10" i="3" s="1"/>
  <c r="H11" i="3"/>
  <c r="M11" i="3" s="1"/>
  <c r="H12" i="3"/>
  <c r="M12" i="3" s="1"/>
  <c r="H13" i="3"/>
  <c r="M13" i="3" s="1"/>
  <c r="H14" i="3"/>
  <c r="B14" i="3" s="1"/>
  <c r="C14" i="3" s="1"/>
  <c r="H15" i="3"/>
  <c r="N15" i="3" s="1"/>
  <c r="H16" i="3"/>
  <c r="B16" i="3" s="1"/>
  <c r="C16" i="3" s="1"/>
  <c r="H17" i="3"/>
  <c r="N17" i="3" s="1"/>
  <c r="H18" i="3"/>
  <c r="N18" i="3" s="1"/>
  <c r="H7" i="3"/>
  <c r="M7" i="3" s="1"/>
  <c r="M32" i="2"/>
  <c r="M48" i="2" s="1"/>
  <c r="M31" i="2"/>
  <c r="M47" i="2" s="1"/>
  <c r="M30" i="2"/>
  <c r="M46" i="2" s="1"/>
  <c r="M29" i="2"/>
  <c r="M45" i="2" s="1"/>
  <c r="M28" i="2"/>
  <c r="M44" i="2" s="1"/>
  <c r="M27" i="2"/>
  <c r="M43" i="2" s="1"/>
  <c r="M26" i="2"/>
  <c r="M42" i="2" s="1"/>
  <c r="M25" i="2"/>
  <c r="M41" i="2" s="1"/>
  <c r="M24" i="2"/>
  <c r="M40" i="2" s="1"/>
  <c r="M23" i="2"/>
  <c r="M39" i="2" s="1"/>
  <c r="M22" i="2"/>
  <c r="M38" i="2" s="1"/>
  <c r="M21" i="2"/>
  <c r="M37" i="2" s="1"/>
  <c r="Q17" i="2"/>
  <c r="S4" i="2" l="1"/>
  <c r="G16" i="4"/>
  <c r="L80" i="2"/>
  <c r="G15" i="4"/>
  <c r="J64" i="2"/>
  <c r="I4" i="2"/>
  <c r="A103" i="2" s="1"/>
  <c r="I8" i="2"/>
  <c r="I11" i="3" s="1"/>
  <c r="G8" i="4"/>
  <c r="G18" i="3"/>
  <c r="I5" i="2"/>
  <c r="I8" i="3" s="1"/>
  <c r="I15" i="2"/>
  <c r="I18" i="3" s="1"/>
  <c r="L14" i="2"/>
  <c r="Y31" i="2" s="1"/>
  <c r="R31" i="2" s="1"/>
  <c r="G10" i="3"/>
  <c r="I14" i="2"/>
  <c r="I17" i="3" s="1"/>
  <c r="L12" i="2"/>
  <c r="X29" i="2" s="1"/>
  <c r="Q29" i="2" s="1"/>
  <c r="I7" i="2"/>
  <c r="I10" i="3" s="1"/>
  <c r="G9" i="4"/>
  <c r="I6" i="2"/>
  <c r="O6" i="2" s="1"/>
  <c r="K9" i="3" s="1"/>
  <c r="K25" i="3" s="1"/>
  <c r="G9" i="3"/>
  <c r="I13" i="2"/>
  <c r="I16" i="3" s="1"/>
  <c r="L6" i="2"/>
  <c r="X23" i="2" s="1"/>
  <c r="Q23" i="2" s="1"/>
  <c r="G7" i="4"/>
  <c r="G8" i="3"/>
  <c r="I12" i="2"/>
  <c r="I15" i="3" s="1"/>
  <c r="L9" i="2"/>
  <c r="X26" i="2" s="1"/>
  <c r="Q26" i="2" s="1"/>
  <c r="L8" i="2"/>
  <c r="X25" i="2" s="1"/>
  <c r="Q25" i="2" s="1"/>
  <c r="G16" i="3"/>
  <c r="I11" i="2"/>
  <c r="I14" i="3" s="1"/>
  <c r="L15" i="2"/>
  <c r="Y32" i="2" s="1"/>
  <c r="R32" i="2" s="1"/>
  <c r="D17" i="2"/>
  <c r="AE8" i="2" s="1"/>
  <c r="L11" i="2"/>
  <c r="Y28" i="2" s="1"/>
  <c r="R28" i="2" s="1"/>
  <c r="L10" i="2"/>
  <c r="X27" i="2" s="1"/>
  <c r="Q27" i="2" s="1"/>
  <c r="G6" i="4"/>
  <c r="G7" i="3"/>
  <c r="I10" i="2"/>
  <c r="I13" i="3" s="1"/>
  <c r="I9" i="2"/>
  <c r="I12" i="3" s="1"/>
  <c r="G14" i="4"/>
  <c r="G13" i="4"/>
  <c r="G15" i="3"/>
  <c r="G11" i="4"/>
  <c r="G10" i="4"/>
  <c r="G13" i="3"/>
  <c r="G12" i="4"/>
  <c r="B85" i="2"/>
  <c r="J10" i="3"/>
  <c r="M7" i="2" s="1"/>
  <c r="M14" i="3"/>
  <c r="Y21" i="2"/>
  <c r="R21" i="2" s="1"/>
  <c r="Q22" i="2"/>
  <c r="Y24" i="2"/>
  <c r="R24" i="2" s="1"/>
  <c r="Y30" i="2"/>
  <c r="R30" i="2" s="1"/>
  <c r="Y22" i="2"/>
  <c r="R22" i="2" s="1"/>
  <c r="Q21" i="2"/>
  <c r="M18" i="3"/>
  <c r="J18" i="3" s="1"/>
  <c r="M15" i="2" s="1"/>
  <c r="M9" i="3"/>
  <c r="N7" i="3"/>
  <c r="M17" i="3"/>
  <c r="J17" i="3" s="1"/>
  <c r="M14" i="2" s="1"/>
  <c r="M8" i="3"/>
  <c r="M10" i="3"/>
  <c r="M16" i="3"/>
  <c r="J16" i="3" s="1"/>
  <c r="M15" i="3"/>
  <c r="B84" i="2"/>
  <c r="E6" i="5"/>
  <c r="E8" i="5" s="1"/>
  <c r="E9" i="5" s="1"/>
  <c r="E10" i="5" s="1"/>
  <c r="S7" i="2"/>
  <c r="S9" i="2"/>
  <c r="S5" i="2"/>
  <c r="S15" i="2"/>
  <c r="S6" i="2"/>
  <c r="S11" i="2"/>
  <c r="S14" i="2"/>
  <c r="S10" i="2"/>
  <c r="S12" i="2"/>
  <c r="S8" i="2"/>
  <c r="N12" i="3"/>
  <c r="N16" i="3"/>
  <c r="N13" i="3"/>
  <c r="B15" i="3"/>
  <c r="N8" i="3"/>
  <c r="J8" i="3" s="1"/>
  <c r="N9" i="3"/>
  <c r="J9" i="3" s="1"/>
  <c r="B13" i="3"/>
  <c r="B12" i="3"/>
  <c r="B18" i="3"/>
  <c r="B10" i="3"/>
  <c r="B11" i="3"/>
  <c r="N11" i="3"/>
  <c r="B17" i="3"/>
  <c r="B7" i="3"/>
  <c r="N14" i="3"/>
  <c r="Q30" i="2"/>
  <c r="Q24" i="2"/>
  <c r="J14" i="3" l="1"/>
  <c r="M11" i="2" s="1"/>
  <c r="J71" i="2"/>
  <c r="A102" i="2"/>
  <c r="F17" i="2"/>
  <c r="A96" i="2"/>
  <c r="A101" i="2"/>
  <c r="O14" i="2"/>
  <c r="K17" i="3" s="1"/>
  <c r="K33" i="3" s="1"/>
  <c r="A98" i="2"/>
  <c r="A106" i="2"/>
  <c r="I7" i="3"/>
  <c r="A104" i="2"/>
  <c r="M80" i="2"/>
  <c r="K95" i="2" s="1"/>
  <c r="M95" i="2" s="1"/>
  <c r="N80" i="2"/>
  <c r="J61" i="2"/>
  <c r="M61" i="2" s="1"/>
  <c r="J77" i="2"/>
  <c r="L77" i="2" s="1"/>
  <c r="J65" i="2"/>
  <c r="K65" i="2" s="1"/>
  <c r="L65" i="2" s="1"/>
  <c r="J81" i="2"/>
  <c r="L81" i="2" s="1"/>
  <c r="J62" i="2"/>
  <c r="K62" i="2" s="1"/>
  <c r="L62" i="2" s="1"/>
  <c r="J78" i="2"/>
  <c r="L78" i="2" s="1"/>
  <c r="J66" i="2"/>
  <c r="K66" i="2" s="1"/>
  <c r="L66" i="2" s="1"/>
  <c r="J82" i="2"/>
  <c r="L82" i="2" s="1"/>
  <c r="J57" i="2"/>
  <c r="M57" i="2" s="1"/>
  <c r="J73" i="2"/>
  <c r="L73" i="2" s="1"/>
  <c r="J56" i="2"/>
  <c r="K56" i="2" s="1"/>
  <c r="L56" i="2" s="1"/>
  <c r="J72" i="2"/>
  <c r="L72" i="2" s="1"/>
  <c r="J55" i="2"/>
  <c r="K55" i="2" s="1"/>
  <c r="L55" i="2" s="1"/>
  <c r="J59" i="2"/>
  <c r="K59" i="2" s="1"/>
  <c r="L59" i="2" s="1"/>
  <c r="J75" i="2"/>
  <c r="L75" i="2" s="1"/>
  <c r="J60" i="2"/>
  <c r="K60" i="2" s="1"/>
  <c r="L60" i="2" s="1"/>
  <c r="J76" i="2"/>
  <c r="L76" i="2" s="1"/>
  <c r="J63" i="2"/>
  <c r="K63" i="2" s="1"/>
  <c r="L63" i="2" s="1"/>
  <c r="J79" i="2"/>
  <c r="L79" i="2" s="1"/>
  <c r="J58" i="2"/>
  <c r="M58" i="2" s="1"/>
  <c r="J74" i="2"/>
  <c r="L74" i="2" s="1"/>
  <c r="O13" i="2"/>
  <c r="K16" i="3" s="1"/>
  <c r="K32" i="3" s="1"/>
  <c r="Y26" i="2"/>
  <c r="R26" i="2" s="1"/>
  <c r="S26" i="2" s="1"/>
  <c r="O10" i="2"/>
  <c r="K13" i="3" s="1"/>
  <c r="K29" i="3" s="1"/>
  <c r="K61" i="2"/>
  <c r="L61" i="2" s="1"/>
  <c r="K64" i="2"/>
  <c r="L64" i="2" s="1"/>
  <c r="M64" i="2"/>
  <c r="O8" i="2"/>
  <c r="K11" i="3" s="1"/>
  <c r="K27" i="3" s="1"/>
  <c r="O4" i="2"/>
  <c r="K7" i="3" s="1"/>
  <c r="K23" i="3" s="1"/>
  <c r="A97" i="2"/>
  <c r="A107" i="2"/>
  <c r="A105" i="2"/>
  <c r="A100" i="2"/>
  <c r="A99" i="2"/>
  <c r="X31" i="2"/>
  <c r="Q31" i="2" s="1"/>
  <c r="S31" i="2" s="1"/>
  <c r="T31" i="2" s="1"/>
  <c r="Y23" i="2"/>
  <c r="R23" i="2" s="1"/>
  <c r="S23" i="2" s="1"/>
  <c r="O11" i="2"/>
  <c r="K14" i="3" s="1"/>
  <c r="K30" i="3" s="1"/>
  <c r="Y27" i="2"/>
  <c r="R27" i="2" s="1"/>
  <c r="S27" i="2" s="1"/>
  <c r="I9" i="3"/>
  <c r="O15" i="2"/>
  <c r="K18" i="3" s="1"/>
  <c r="K34" i="3" s="1"/>
  <c r="O7" i="2"/>
  <c r="K10" i="3" s="1"/>
  <c r="K26" i="3" s="1"/>
  <c r="S17" i="2"/>
  <c r="O12" i="2"/>
  <c r="K15" i="3" s="1"/>
  <c r="K31" i="3" s="1"/>
  <c r="Y25" i="2"/>
  <c r="R25" i="2" s="1"/>
  <c r="S25" i="2" s="1"/>
  <c r="O5" i="2"/>
  <c r="K8" i="3" s="1"/>
  <c r="K24" i="3" s="1"/>
  <c r="O9" i="2"/>
  <c r="K12" i="3" s="1"/>
  <c r="K28" i="3" s="1"/>
  <c r="X28" i="2"/>
  <c r="Q28" i="2" s="1"/>
  <c r="S28" i="2" s="1"/>
  <c r="X32" i="2"/>
  <c r="Q32" i="2" s="1"/>
  <c r="S32" i="2" s="1"/>
  <c r="T32" i="2" s="1"/>
  <c r="Y29" i="2"/>
  <c r="R29" i="2" s="1"/>
  <c r="S29" i="2" s="1"/>
  <c r="S22" i="2"/>
  <c r="J13" i="3"/>
  <c r="M10" i="2" s="1"/>
  <c r="J15" i="3"/>
  <c r="M12" i="2" s="1"/>
  <c r="J12" i="3"/>
  <c r="M9" i="2" s="1"/>
  <c r="J11" i="3"/>
  <c r="M8" i="2" s="1"/>
  <c r="J7" i="3"/>
  <c r="M4" i="2" s="1"/>
  <c r="S30" i="2"/>
  <c r="E11" i="5"/>
  <c r="C11" i="3"/>
  <c r="C7" i="3"/>
  <c r="C13" i="3"/>
  <c r="C10" i="3"/>
  <c r="C18" i="3"/>
  <c r="C17" i="3"/>
  <c r="C15" i="3"/>
  <c r="C12" i="3"/>
  <c r="M6" i="2"/>
  <c r="S21" i="2"/>
  <c r="S24" i="2"/>
  <c r="T24" i="2" s="1"/>
  <c r="H6" i="5" l="1"/>
  <c r="F18" i="5"/>
  <c r="H72" i="2"/>
  <c r="J95" i="2"/>
  <c r="J111" i="2" s="1"/>
  <c r="K111" i="2" s="1"/>
  <c r="L71" i="2"/>
  <c r="N71" i="2" s="1"/>
  <c r="J86" i="2" s="1"/>
  <c r="J102" i="2" s="1"/>
  <c r="K102" i="2"/>
  <c r="M72" i="2"/>
  <c r="K87" i="2" s="1"/>
  <c r="M87" i="2" s="1"/>
  <c r="N72" i="2"/>
  <c r="M81" i="2"/>
  <c r="K96" i="2" s="1"/>
  <c r="M96" i="2" s="1"/>
  <c r="N81" i="2"/>
  <c r="M79" i="2"/>
  <c r="K94" i="2" s="1"/>
  <c r="M94" i="2" s="1"/>
  <c r="N79" i="2"/>
  <c r="M73" i="2"/>
  <c r="K88" i="2" s="1"/>
  <c r="M88" i="2" s="1"/>
  <c r="N73" i="2"/>
  <c r="N82" i="2"/>
  <c r="M82" i="2"/>
  <c r="K97" i="2" s="1"/>
  <c r="M97" i="2" s="1"/>
  <c r="M76" i="2"/>
  <c r="K91" i="2" s="1"/>
  <c r="M91" i="2" s="1"/>
  <c r="N76" i="2"/>
  <c r="N75" i="2"/>
  <c r="M75" i="2"/>
  <c r="K90" i="2" s="1"/>
  <c r="M90" i="2" s="1"/>
  <c r="M78" i="2"/>
  <c r="K93" i="2" s="1"/>
  <c r="M93" i="2" s="1"/>
  <c r="N78" i="2"/>
  <c r="N77" i="2"/>
  <c r="M77" i="2"/>
  <c r="K92" i="2" s="1"/>
  <c r="M92" i="2" s="1"/>
  <c r="N74" i="2"/>
  <c r="M74" i="2"/>
  <c r="K89" i="2" s="1"/>
  <c r="M89" i="2" s="1"/>
  <c r="K58" i="2"/>
  <c r="L58" i="2" s="1"/>
  <c r="M63" i="2"/>
  <c r="K57" i="2"/>
  <c r="L57" i="2" s="1"/>
  <c r="M55" i="2"/>
  <c r="M65" i="2"/>
  <c r="M56" i="2"/>
  <c r="M60" i="2"/>
  <c r="M59" i="2"/>
  <c r="M62" i="2"/>
  <c r="M66" i="2"/>
  <c r="T29" i="2"/>
  <c r="U29" i="2" s="1"/>
  <c r="V29" i="2" s="1"/>
  <c r="I14" i="4" s="1"/>
  <c r="T27" i="2"/>
  <c r="U27" i="2" s="1"/>
  <c r="V27" i="2" s="1"/>
  <c r="I12" i="4" s="1"/>
  <c r="T21" i="2"/>
  <c r="U21" i="2" s="1"/>
  <c r="T25" i="2"/>
  <c r="U25" i="2" s="1"/>
  <c r="T26" i="2"/>
  <c r="U26" i="2" s="1"/>
  <c r="V26" i="2" s="1"/>
  <c r="I11" i="4" s="1"/>
  <c r="M13" i="2"/>
  <c r="T30" i="2" s="1"/>
  <c r="U30" i="2" s="1"/>
  <c r="V30" i="2" s="1"/>
  <c r="I15" i="4" s="1"/>
  <c r="M5" i="2"/>
  <c r="T22" i="2" s="1"/>
  <c r="U22" i="2" s="1"/>
  <c r="V22" i="2" s="1"/>
  <c r="I7" i="4" s="1"/>
  <c r="T23" i="2"/>
  <c r="U23" i="2" s="1"/>
  <c r="V23" i="2" s="1"/>
  <c r="I8" i="4" s="1"/>
  <c r="T28" i="2"/>
  <c r="U28" i="2" s="1"/>
  <c r="V28" i="2" s="1"/>
  <c r="I13" i="4" s="1"/>
  <c r="U24" i="2"/>
  <c r="V24" i="2" s="1"/>
  <c r="I9" i="4" s="1"/>
  <c r="U32" i="2"/>
  <c r="V32" i="2" s="1"/>
  <c r="I17" i="4" s="1"/>
  <c r="U31" i="2"/>
  <c r="V31" i="2" s="1"/>
  <c r="I16" i="4" s="1"/>
  <c r="J92" i="2" l="1"/>
  <c r="J108" i="2" s="1"/>
  <c r="K108" i="2" s="1"/>
  <c r="J97" i="2"/>
  <c r="J113" i="2" s="1"/>
  <c r="K113" i="2" s="1"/>
  <c r="J93" i="2"/>
  <c r="J109" i="2" s="1"/>
  <c r="K109" i="2" s="1"/>
  <c r="J88" i="2"/>
  <c r="J104" i="2" s="1"/>
  <c r="K104" i="2" s="1"/>
  <c r="J94" i="2"/>
  <c r="J110" i="2" s="1"/>
  <c r="K110" i="2" s="1"/>
  <c r="J90" i="2"/>
  <c r="J106" i="2" s="1"/>
  <c r="K106" i="2" s="1"/>
  <c r="J91" i="2"/>
  <c r="J107" i="2" s="1"/>
  <c r="K107" i="2" s="1"/>
  <c r="J96" i="2"/>
  <c r="J112" i="2" s="1"/>
  <c r="K112" i="2" s="1"/>
  <c r="M71" i="2"/>
  <c r="K86" i="2" s="1"/>
  <c r="M86" i="2" s="1"/>
  <c r="M98" i="2" s="1"/>
  <c r="P86" i="2" s="1"/>
  <c r="J89" i="2"/>
  <c r="J105" i="2" s="1"/>
  <c r="K105" i="2" s="1"/>
  <c r="J87" i="2"/>
  <c r="J103" i="2" s="1"/>
  <c r="K103" i="2" s="1"/>
  <c r="L67" i="2"/>
  <c r="N55" i="2" s="1"/>
  <c r="O55" i="2" s="1"/>
  <c r="Q55" i="2" s="1"/>
  <c r="U33" i="2"/>
  <c r="V33" i="2" s="1"/>
  <c r="V21" i="2"/>
  <c r="I6" i="4" s="1"/>
  <c r="V25" i="2"/>
  <c r="I10" i="4" s="1"/>
  <c r="O86" i="2" l="1"/>
  <c r="N86" i="2" s="1"/>
  <c r="K98" i="2"/>
  <c r="K114" i="2"/>
  <c r="K130" i="2"/>
  <c r="N56" i="2"/>
  <c r="N57" i="2" s="1"/>
  <c r="N58" i="2" s="1"/>
  <c r="P87" i="2" l="1"/>
  <c r="O87" i="2" s="1"/>
  <c r="N87" i="2" s="1"/>
  <c r="W5" i="2" s="1"/>
  <c r="P38" i="2" s="1"/>
  <c r="W4" i="2"/>
  <c r="P37" i="2" s="1"/>
  <c r="O56" i="2"/>
  <c r="Q56" i="2" s="1"/>
  <c r="P55" i="2"/>
  <c r="P56" i="2"/>
  <c r="O57" i="2"/>
  <c r="Q57" i="2" s="1"/>
  <c r="O58" i="2"/>
  <c r="Q58" i="2" s="1"/>
  <c r="P57" i="2"/>
  <c r="N59" i="2"/>
  <c r="P88" i="2" l="1"/>
  <c r="O88" i="2" s="1"/>
  <c r="N88" i="2" s="1"/>
  <c r="W6" i="2" s="1"/>
  <c r="P39" i="2" s="1"/>
  <c r="P89" i="2"/>
  <c r="O89" i="2" s="1"/>
  <c r="N60" i="2"/>
  <c r="O59" i="2"/>
  <c r="Q59" i="2" s="1"/>
  <c r="P58" i="2"/>
  <c r="D8" i="3"/>
  <c r="P90" i="2" l="1"/>
  <c r="O90" i="2" s="1"/>
  <c r="N89" i="2"/>
  <c r="W7" i="2" s="1"/>
  <c r="P40" i="2" s="1"/>
  <c r="O60" i="2"/>
  <c r="Q60" i="2" s="1"/>
  <c r="N61" i="2"/>
  <c r="P59" i="2"/>
  <c r="P91" i="2" l="1"/>
  <c r="O91" i="2" s="1"/>
  <c r="P92" i="2" s="1"/>
  <c r="N90" i="2"/>
  <c r="W8" i="2" s="1"/>
  <c r="P60" i="2"/>
  <c r="N62" i="2"/>
  <c r="O61" i="2"/>
  <c r="Q61" i="2" s="1"/>
  <c r="P41" i="2" l="1"/>
  <c r="N91" i="2"/>
  <c r="W9" i="2" s="1"/>
  <c r="P42" i="2" s="1"/>
  <c r="N63" i="2"/>
  <c r="O62" i="2"/>
  <c r="Q62" i="2" s="1"/>
  <c r="P61" i="2"/>
  <c r="O63" i="2" l="1"/>
  <c r="Q63" i="2" s="1"/>
  <c r="P62" i="2"/>
  <c r="N64" i="2"/>
  <c r="N65" i="2" l="1"/>
  <c r="O64" i="2"/>
  <c r="Q64" i="2" s="1"/>
  <c r="P63" i="2"/>
  <c r="N66" i="2" l="1"/>
  <c r="O65" i="2"/>
  <c r="Q65" i="2" s="1"/>
  <c r="P64" i="2"/>
  <c r="N67" i="2" l="1"/>
  <c r="O66" i="2"/>
  <c r="Q66" i="2" s="1"/>
  <c r="Q67" i="2" s="1"/>
  <c r="P65" i="2"/>
  <c r="P66" i="2" l="1"/>
  <c r="O67" i="2"/>
  <c r="O92" i="2" l="1"/>
  <c r="P93" i="2" s="1"/>
  <c r="N92" i="2" l="1"/>
  <c r="W10" i="2" s="1"/>
  <c r="P43" i="2" s="1"/>
  <c r="O93" i="2"/>
  <c r="P94" i="2" s="1"/>
  <c r="N93" i="2" l="1"/>
  <c r="W11" i="2" s="1"/>
  <c r="P44" i="2" s="1"/>
  <c r="O94" i="2"/>
  <c r="P95" i="2" s="1"/>
  <c r="N94" i="2" l="1"/>
  <c r="W12" i="2" s="1"/>
  <c r="P45" i="2" s="1"/>
  <c r="O95" i="2"/>
  <c r="P96" i="2" s="1"/>
  <c r="N95" i="2" l="1"/>
  <c r="W13" i="2" s="1"/>
  <c r="P46" i="2" s="1"/>
  <c r="O96" i="2"/>
  <c r="P97" i="2" s="1"/>
  <c r="O97" i="2" s="1"/>
  <c r="N102" i="2" s="1"/>
  <c r="M102" i="2" l="1"/>
  <c r="N96" i="2"/>
  <c r="W14" i="2" s="1"/>
  <c r="P47" i="2" s="1"/>
  <c r="N103" i="2" l="1"/>
  <c r="L102" i="2"/>
  <c r="V4" i="2" s="1"/>
  <c r="N97" i="2"/>
  <c r="W15" i="2" s="1"/>
  <c r="P48" i="2" s="1"/>
  <c r="M103" i="2" l="1"/>
  <c r="O37" i="2" l="1"/>
  <c r="N104" i="2"/>
  <c r="M104" i="2" s="1"/>
  <c r="L103" i="2"/>
  <c r="V5" i="2" s="1"/>
  <c r="O38" i="2" l="1"/>
  <c r="N105" i="2"/>
  <c r="M105" i="2" s="1"/>
  <c r="L104" i="2"/>
  <c r="V6" i="2" s="1"/>
  <c r="O39" i="2" l="1"/>
  <c r="N106" i="2"/>
  <c r="M106" i="2" s="1"/>
  <c r="L105" i="2"/>
  <c r="V7" i="2" s="1"/>
  <c r="O40" i="2" l="1"/>
  <c r="L106" i="2"/>
  <c r="V8" i="2" s="1"/>
  <c r="N107" i="2"/>
  <c r="M107" i="2" s="1"/>
  <c r="O41" i="2" l="1"/>
  <c r="L107" i="2"/>
  <c r="V9" i="2" s="1"/>
  <c r="N108" i="2"/>
  <c r="M108" i="2" s="1"/>
  <c r="O42" i="2" l="1"/>
  <c r="L108" i="2"/>
  <c r="V10" i="2" s="1"/>
  <c r="N109" i="2"/>
  <c r="M109" i="2" s="1"/>
  <c r="O43" i="2" l="1"/>
  <c r="L109" i="2"/>
  <c r="V11" i="2" s="1"/>
  <c r="N110" i="2"/>
  <c r="M110" i="2" s="1"/>
  <c r="O44" i="2" l="1"/>
  <c r="L110" i="2"/>
  <c r="V12" i="2" s="1"/>
  <c r="N111" i="2"/>
  <c r="M111" i="2" s="1"/>
  <c r="O45" i="2" l="1"/>
  <c r="L111" i="2"/>
  <c r="V13" i="2" s="1"/>
  <c r="N112" i="2"/>
  <c r="M112" i="2" s="1"/>
  <c r="O46" i="2" l="1"/>
  <c r="L112" i="2"/>
  <c r="V14" i="2" s="1"/>
  <c r="N113" i="2"/>
  <c r="N118" i="2" s="1"/>
  <c r="M118" i="2" s="1"/>
  <c r="M113" i="2" l="1"/>
  <c r="L113" i="2" s="1"/>
  <c r="L114" i="2" s="1"/>
  <c r="N119" i="2"/>
  <c r="M119" i="2" s="1"/>
  <c r="N120" i="2" s="1"/>
  <c r="O47" i="2"/>
  <c r="V15" i="2" l="1"/>
  <c r="O48" i="2" s="1"/>
  <c r="L118" i="2"/>
  <c r="U4" i="2" s="1"/>
  <c r="T4" i="2" s="1"/>
  <c r="X4" i="2" s="1"/>
  <c r="N37" i="2" l="1"/>
  <c r="L119" i="2"/>
  <c r="U5" i="2" s="1"/>
  <c r="M120" i="2"/>
  <c r="N121" i="2" s="1"/>
  <c r="G23" i="3" l="1"/>
  <c r="N38" i="2"/>
  <c r="T5" i="2"/>
  <c r="L120" i="2"/>
  <c r="U6" i="2" s="1"/>
  <c r="M121" i="2"/>
  <c r="N122" i="2" s="1"/>
  <c r="I23" i="3" l="1"/>
  <c r="D24" i="3" s="1"/>
  <c r="AC4" i="2"/>
  <c r="X38" i="2" s="1"/>
  <c r="Q37" i="2" s="1"/>
  <c r="N39" i="2"/>
  <c r="T6" i="2"/>
  <c r="AC5" i="2"/>
  <c r="G24" i="3"/>
  <c r="X5" i="2"/>
  <c r="I24" i="3" s="1"/>
  <c r="D27" i="3"/>
  <c r="M122" i="2"/>
  <c r="N123" i="2" s="1"/>
  <c r="L121" i="2"/>
  <c r="H23" i="3" l="1"/>
  <c r="Y4" i="2" s="1"/>
  <c r="Y38" i="2"/>
  <c r="R37" i="2" s="1"/>
  <c r="S37" i="2" s="1"/>
  <c r="U7" i="2"/>
  <c r="T7" i="2" s="1"/>
  <c r="H24" i="3"/>
  <c r="X39" i="2"/>
  <c r="Q38" i="2" s="1"/>
  <c r="Y39" i="2"/>
  <c r="R38" i="2" s="1"/>
  <c r="X6" i="2"/>
  <c r="I25" i="3" s="1"/>
  <c r="AC6" i="2"/>
  <c r="G25" i="3"/>
  <c r="M123" i="2"/>
  <c r="N124" i="2" s="1"/>
  <c r="L122" i="2"/>
  <c r="U8" i="2" s="1"/>
  <c r="N23" i="3" l="1"/>
  <c r="J23" i="3" s="1"/>
  <c r="M23" i="3"/>
  <c r="N40" i="2"/>
  <c r="H25" i="3"/>
  <c r="Y6" i="2" s="1"/>
  <c r="N41" i="2"/>
  <c r="T8" i="2"/>
  <c r="S38" i="2"/>
  <c r="N24" i="3"/>
  <c r="Y5" i="2"/>
  <c r="M24" i="3"/>
  <c r="X40" i="2"/>
  <c r="Q39" i="2" s="1"/>
  <c r="Y40" i="2"/>
  <c r="R39" i="2" s="1"/>
  <c r="X7" i="2"/>
  <c r="I26" i="3" s="1"/>
  <c r="AC7" i="2"/>
  <c r="G26" i="3"/>
  <c r="L123" i="2"/>
  <c r="U9" i="2" s="1"/>
  <c r="M124" i="2"/>
  <c r="N125" i="2" s="1"/>
  <c r="Z4" i="2" l="1"/>
  <c r="T37" i="2" s="1"/>
  <c r="U37" i="2" s="1"/>
  <c r="V37" i="2" s="1"/>
  <c r="J6" i="4" s="1"/>
  <c r="K6" i="4" s="1"/>
  <c r="M25" i="3"/>
  <c r="N25" i="3"/>
  <c r="H26" i="3"/>
  <c r="N26" i="3" s="1"/>
  <c r="J24" i="3"/>
  <c r="Z5" i="2" s="1"/>
  <c r="T38" i="2" s="1"/>
  <c r="N42" i="2"/>
  <c r="T9" i="2"/>
  <c r="X8" i="2"/>
  <c r="I27" i="3" s="1"/>
  <c r="G27" i="3"/>
  <c r="AC8" i="2"/>
  <c r="Y41" i="2"/>
  <c r="R40" i="2" s="1"/>
  <c r="X41" i="2"/>
  <c r="Q40" i="2" s="1"/>
  <c r="S39" i="2"/>
  <c r="L124" i="2"/>
  <c r="U10" i="2" s="1"/>
  <c r="M125" i="2"/>
  <c r="N126" i="2" s="1"/>
  <c r="J25" i="3" l="1"/>
  <c r="Z6" i="2" s="1"/>
  <c r="T39" i="2" s="1"/>
  <c r="U39" i="2" s="1"/>
  <c r="V39" i="2" s="1"/>
  <c r="J8" i="4" s="1"/>
  <c r="K8" i="4" s="1"/>
  <c r="H27" i="3"/>
  <c r="Y8" i="2" s="1"/>
  <c r="M26" i="3"/>
  <c r="J26" i="3" s="1"/>
  <c r="Z7" i="2" s="1"/>
  <c r="S40" i="2"/>
  <c r="Y7" i="2"/>
  <c r="AC9" i="2"/>
  <c r="G28" i="3"/>
  <c r="X9" i="2"/>
  <c r="I28" i="3" s="1"/>
  <c r="N43" i="2"/>
  <c r="T10" i="2"/>
  <c r="Y42" i="2"/>
  <c r="R41" i="2" s="1"/>
  <c r="X42" i="2"/>
  <c r="Q41" i="2" s="1"/>
  <c r="U38" i="2"/>
  <c r="L125" i="2"/>
  <c r="U11" i="2" s="1"/>
  <c r="M126" i="2"/>
  <c r="N127" i="2" s="1"/>
  <c r="T40" i="2" l="1"/>
  <c r="U40" i="2" s="1"/>
  <c r="V40" i="2" s="1"/>
  <c r="J9" i="4" s="1"/>
  <c r="K9" i="4" s="1"/>
  <c r="S41" i="2"/>
  <c r="N27" i="3"/>
  <c r="M27" i="3"/>
  <c r="J27" i="3" s="1"/>
  <c r="Z8" i="2" s="1"/>
  <c r="N44" i="2"/>
  <c r="T11" i="2"/>
  <c r="G29" i="3"/>
  <c r="AC10" i="2"/>
  <c r="X10" i="2"/>
  <c r="I29" i="3" s="1"/>
  <c r="H28" i="3"/>
  <c r="V38" i="2"/>
  <c r="J7" i="4" s="1"/>
  <c r="K7" i="4" s="1"/>
  <c r="Y43" i="2"/>
  <c r="R42" i="2" s="1"/>
  <c r="X43" i="2"/>
  <c r="Q42" i="2" s="1"/>
  <c r="M127" i="2"/>
  <c r="N128" i="2" s="1"/>
  <c r="L126" i="2"/>
  <c r="U12" i="2" s="1"/>
  <c r="T41" i="2" l="1"/>
  <c r="U41" i="2" s="1"/>
  <c r="V41" i="2" s="1"/>
  <c r="J10" i="4" s="1"/>
  <c r="K10" i="4" s="1"/>
  <c r="Y9" i="2"/>
  <c r="N28" i="3"/>
  <c r="M28" i="3"/>
  <c r="N45" i="2"/>
  <c r="T12" i="2"/>
  <c r="S42" i="2"/>
  <c r="X44" i="2"/>
  <c r="Q43" i="2" s="1"/>
  <c r="Y44" i="2"/>
  <c r="R43" i="2" s="1"/>
  <c r="H29" i="3"/>
  <c r="G30" i="3"/>
  <c r="X11" i="2"/>
  <c r="I30" i="3" s="1"/>
  <c r="AC11" i="2"/>
  <c r="M128" i="2"/>
  <c r="N129" i="2" s="1"/>
  <c r="L127" i="2"/>
  <c r="U13" i="2" s="1"/>
  <c r="S43" i="2" l="1"/>
  <c r="J28" i="3"/>
  <c r="Z9" i="2" s="1"/>
  <c r="T42" i="2" s="1"/>
  <c r="Y45" i="2"/>
  <c r="R44" i="2" s="1"/>
  <c r="X45" i="2"/>
  <c r="Q44" i="2" s="1"/>
  <c r="X12" i="2"/>
  <c r="I31" i="3" s="1"/>
  <c r="G31" i="3"/>
  <c r="AC12" i="2"/>
  <c r="H30" i="3"/>
  <c r="N46" i="2"/>
  <c r="T13" i="2"/>
  <c r="M29" i="3"/>
  <c r="N29" i="3"/>
  <c r="Y10" i="2"/>
  <c r="L128" i="2"/>
  <c r="U14" i="2" s="1"/>
  <c r="J29" i="3" l="1"/>
  <c r="Z10" i="2" s="1"/>
  <c r="T43" i="2" s="1"/>
  <c r="U43" i="2" s="1"/>
  <c r="V43" i="2" s="1"/>
  <c r="J12" i="4" s="1"/>
  <c r="K12" i="4" s="1"/>
  <c r="S44" i="2"/>
  <c r="H31" i="3"/>
  <c r="M31" i="3" s="1"/>
  <c r="U42" i="2"/>
  <c r="M30" i="3"/>
  <c r="N30" i="3"/>
  <c r="J30" i="3" s="1"/>
  <c r="Z11" i="2" s="1"/>
  <c r="Y11" i="2"/>
  <c r="Y46" i="2"/>
  <c r="R45" i="2" s="1"/>
  <c r="X46" i="2"/>
  <c r="Q45" i="2" s="1"/>
  <c r="N47" i="2"/>
  <c r="T14" i="2"/>
  <c r="X13" i="2"/>
  <c r="I32" i="3" s="1"/>
  <c r="G32" i="3"/>
  <c r="AC13" i="2"/>
  <c r="M129" i="2"/>
  <c r="L129" i="2" s="1"/>
  <c r="L130" i="2" s="1"/>
  <c r="N31" i="3" l="1"/>
  <c r="J31" i="3" s="1"/>
  <c r="Z12" i="2" s="1"/>
  <c r="Y12" i="2"/>
  <c r="T44" i="2"/>
  <c r="U44" i="2" s="1"/>
  <c r="V44" i="2" s="1"/>
  <c r="J13" i="4" s="1"/>
  <c r="K13" i="4" s="1"/>
  <c r="AC14" i="2"/>
  <c r="G33" i="3"/>
  <c r="X14" i="2"/>
  <c r="I33" i="3" s="1"/>
  <c r="U15" i="2"/>
  <c r="U16" i="2" s="1"/>
  <c r="V42" i="2"/>
  <c r="J11" i="4" s="1"/>
  <c r="K11" i="4" s="1"/>
  <c r="X47" i="2"/>
  <c r="Q46" i="2" s="1"/>
  <c r="Y47" i="2"/>
  <c r="R46" i="2" s="1"/>
  <c r="H32" i="3"/>
  <c r="S45" i="2"/>
  <c r="T45" i="2" l="1"/>
  <c r="U45" i="2" s="1"/>
  <c r="V45" i="2" s="1"/>
  <c r="J14" i="4" s="1"/>
  <c r="K14" i="4" s="1"/>
  <c r="N48" i="2"/>
  <c r="T15" i="2"/>
  <c r="M32" i="3"/>
  <c r="N32" i="3"/>
  <c r="Y13" i="2"/>
  <c r="H33" i="3"/>
  <c r="S46" i="2"/>
  <c r="X48" i="2"/>
  <c r="Q47" i="2" s="1"/>
  <c r="Y48" i="2"/>
  <c r="R47" i="2" s="1"/>
  <c r="J32" i="3" l="1"/>
  <c r="Z13" i="2" s="1"/>
  <c r="T46" i="2" s="1"/>
  <c r="U46" i="2" s="1"/>
  <c r="V46" i="2" s="1"/>
  <c r="J15" i="4" s="1"/>
  <c r="K15" i="4" s="1"/>
  <c r="N33" i="3"/>
  <c r="Y14" i="2"/>
  <c r="M33" i="3"/>
  <c r="AC15" i="2"/>
  <c r="X15" i="2"/>
  <c r="I34" i="3" s="1"/>
  <c r="G34" i="3"/>
  <c r="S47" i="2"/>
  <c r="J33" i="3" l="1"/>
  <c r="Z14" i="2" s="1"/>
  <c r="T47" i="2" s="1"/>
  <c r="U47" i="2" s="1"/>
  <c r="V47" i="2" s="1"/>
  <c r="J16" i="4" s="1"/>
  <c r="K16" i="4" s="1"/>
  <c r="X49" i="2"/>
  <c r="Q48" i="2" s="1"/>
  <c r="Y49" i="2"/>
  <c r="R48" i="2" s="1"/>
  <c r="H34" i="3"/>
  <c r="Y15" i="2" l="1"/>
  <c r="N34" i="3"/>
  <c r="M34" i="3"/>
  <c r="S48" i="2"/>
  <c r="J34" i="3" l="1"/>
  <c r="Z15" i="2" s="1"/>
  <c r="T48" i="2" s="1"/>
  <c r="U48" i="2" l="1"/>
  <c r="T49" i="2"/>
  <c r="V48" i="2" l="1"/>
  <c r="J17" i="4" s="1"/>
  <c r="K17" i="4" s="1"/>
  <c r="K18" i="4" s="1"/>
  <c r="U49" i="2"/>
  <c r="V49" i="2" s="1"/>
  <c r="V50" i="2" s="1"/>
  <c r="V52" i="2" s="1"/>
  <c r="J19" i="4" l="1"/>
  <c r="H4" i="6"/>
  <c r="I4" i="6" l="1"/>
  <c r="H5" i="6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I5" i="6" l="1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</calcChain>
</file>

<file path=xl/sharedStrings.xml><?xml version="1.0" encoding="utf-8"?>
<sst xmlns="http://schemas.openxmlformats.org/spreadsheetml/2006/main" count="304" uniqueCount="151">
  <si>
    <t>ENERO</t>
  </si>
  <si>
    <t>FEBRERO</t>
  </si>
  <si>
    <t xml:space="preserve">MARZO </t>
  </si>
  <si>
    <t>ABRIL</t>
  </si>
  <si>
    <t xml:space="preserve">MAYO </t>
  </si>
  <si>
    <t>JUNIO</t>
  </si>
  <si>
    <t>JULIO</t>
  </si>
  <si>
    <t>AGOSTO</t>
  </si>
  <si>
    <t>SEPTIEMBRE</t>
  </si>
  <si>
    <t xml:space="preserve">OCTUBRE </t>
  </si>
  <si>
    <t>NOVIEMBRE</t>
  </si>
  <si>
    <t>DICIEMBRE</t>
  </si>
  <si>
    <t>CONSUMO (KWH)</t>
  </si>
  <si>
    <t>HSP</t>
  </si>
  <si>
    <t>ESTUDIO FV</t>
  </si>
  <si>
    <t xml:space="preserve">EFICIENCIA </t>
  </si>
  <si>
    <t>TOTAL</t>
  </si>
  <si>
    <t>POTENCIA REQUERIDA (KWP)</t>
  </si>
  <si>
    <t>POTENCIA A INSTALAR (KWP)</t>
  </si>
  <si>
    <t>DÍAS DEL MES</t>
  </si>
  <si>
    <t>FIJO ($)</t>
  </si>
  <si>
    <t>DISTRIBUCIÓN ($/KW)</t>
  </si>
  <si>
    <t>CAPACIDAD ($/KW)</t>
  </si>
  <si>
    <t>DEMANDA MÁXIMA MENSUAL</t>
  </si>
  <si>
    <t>DEMANDA MÁXIMA EN PUNTA</t>
  </si>
  <si>
    <t>DEMANDA ENERGIZADA</t>
  </si>
  <si>
    <t xml:space="preserve">FACTOR DE CARGA </t>
  </si>
  <si>
    <t xml:space="preserve">DISTRIBUCIÓN </t>
  </si>
  <si>
    <t xml:space="preserve">CAPACIDAD </t>
  </si>
  <si>
    <t>MULTIPLICADORES</t>
  </si>
  <si>
    <t>TOTAL + IVA</t>
  </si>
  <si>
    <t xml:space="preserve"> HSP PROMEDIO ANUAL </t>
  </si>
  <si>
    <t>CONSUMO NUEVO (KWH)</t>
  </si>
  <si>
    <t>CARGO POR BAJA TENSIÓN  (2%)</t>
  </si>
  <si>
    <t>FACTOR DE POTENCIA</t>
  </si>
  <si>
    <t>CONSUMO (KVAH)</t>
  </si>
  <si>
    <t xml:space="preserve">CARGO FACTOR DE POTENCIA </t>
  </si>
  <si>
    <t>CARGO BAJA TENSIÓN(2%)</t>
  </si>
  <si>
    <t>CONSUMO NUEVO (KVAH)</t>
  </si>
  <si>
    <t>FACTOR DE POTENCIA NUEVO</t>
  </si>
  <si>
    <t>RECARGO POR NUEVO FACTOR DE POTENCIA</t>
  </si>
  <si>
    <t>RECARGO FP</t>
  </si>
  <si>
    <t>BONIFICACIÓN FP</t>
  </si>
  <si>
    <t>RECARGO/BONIFICACIÓN FACTOR DE POTENCIA</t>
  </si>
  <si>
    <t>CONSUMO CON FV (KWH)</t>
  </si>
  <si>
    <t>FACTOR DE POTENCIA CON FV</t>
  </si>
  <si>
    <t>BAJA TENSION (2%)</t>
  </si>
  <si>
    <t xml:space="preserve">Mes </t>
  </si>
  <si>
    <t>Consumo histórico (kWh)</t>
  </si>
  <si>
    <t>Energía generada por el sistema (kWh)</t>
  </si>
  <si>
    <t>Pago histórico ($)</t>
  </si>
  <si>
    <t>Pago nuevo ($)</t>
  </si>
  <si>
    <t>Ahorro por periodo ($)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</si>
  <si>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</si>
  <si>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</si>
  <si>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</si>
  <si>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</si>
  <si>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</si>
  <si>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</si>
  <si>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</si>
  <si>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</si>
  <si>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</si>
  <si>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</si>
  <si>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</si>
  <si>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</si>
  <si>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Ahorro anual </t>
  </si>
  <si>
    <t>AÑO</t>
  </si>
  <si>
    <t xml:space="preserve">AHORRO </t>
  </si>
  <si>
    <t>INFLACIÓN ANUAL (5%)</t>
  </si>
  <si>
    <t>AHORRO ACUMULADO</t>
  </si>
  <si>
    <t xml:space="preserve">Descripción </t>
  </si>
  <si>
    <t xml:space="preserve">Tamaño del sistema </t>
  </si>
  <si>
    <t>Subtotal (MXN)</t>
  </si>
  <si>
    <t>IVA (MXN)</t>
  </si>
  <si>
    <t>TOTAL (MXN)</t>
  </si>
  <si>
    <t>Precio dólar/ watt (18.945)</t>
  </si>
  <si>
    <t xml:space="preserve">Total </t>
  </si>
  <si>
    <t>TIPO DE CAMBIO</t>
  </si>
  <si>
    <t>W</t>
  </si>
  <si>
    <t>Precio (USD)</t>
  </si>
  <si>
    <t>USD</t>
  </si>
  <si>
    <t>RECARGO / BONIFICACIÓN FACTOR DE POTENCIA</t>
  </si>
  <si>
    <t>KVArh</t>
  </si>
  <si>
    <t>CON FOTOVOLTAICO</t>
  </si>
  <si>
    <t>Enero</t>
  </si>
  <si>
    <t>Balance</t>
  </si>
  <si>
    <t xml:space="preserve">A favor </t>
  </si>
  <si>
    <t>En contra</t>
  </si>
  <si>
    <t>Restante</t>
  </si>
  <si>
    <t xml:space="preserve">Restante final </t>
  </si>
  <si>
    <t xml:space="preserve">Contraprestación: No modificar </t>
  </si>
  <si>
    <t xml:space="preserve">Consumo final </t>
  </si>
  <si>
    <t>Potencia del panel (W)</t>
  </si>
  <si>
    <t xml:space="preserve">Número de paneles </t>
  </si>
  <si>
    <t>Costo USD / Watt</t>
  </si>
  <si>
    <t>Retorno de inversión</t>
  </si>
  <si>
    <t xml:space="preserve">años </t>
  </si>
  <si>
    <t xml:space="preserve">COSTO SFV </t>
  </si>
  <si>
    <t xml:space="preserve">Introducir dato de factor de potencia por mesen (%) </t>
  </si>
  <si>
    <t xml:space="preserve">Introducir demanda máxima mensual obtenida del recibo </t>
  </si>
  <si>
    <t>Factor de carga obtenido en el acuerdo único A/064 2018</t>
  </si>
  <si>
    <t xml:space="preserve">Obtener datos de HSP de plataforma de la NASA </t>
  </si>
  <si>
    <t xml:space="preserve">Actualizar costos a localidad de la instalación </t>
  </si>
  <si>
    <t xml:space="preserve">Eficiencia ponderada para SFV interconectado </t>
  </si>
  <si>
    <t>Elegir potencia del panel (W)</t>
  </si>
  <si>
    <t xml:space="preserve">Elegir cantidad de paneles </t>
  </si>
  <si>
    <t>Consumo se cargara por sí solo (kWh)</t>
  </si>
  <si>
    <t>Consumo base (kWh)</t>
  </si>
  <si>
    <t>Consumo intermedio (kWh)</t>
  </si>
  <si>
    <t>Coonsumo punta (kWh)</t>
  </si>
  <si>
    <t xml:space="preserve">Cargar consumo base (kWh) de recibo </t>
  </si>
  <si>
    <t xml:space="preserve">Cargar consumo intermedio  (kWh) de recibo </t>
  </si>
  <si>
    <t xml:space="preserve">Cargar consumo punta (kWh) de recibo </t>
  </si>
  <si>
    <t>kWh base  ($/KWH)</t>
  </si>
  <si>
    <t>kWh punta  ($/KWH)</t>
  </si>
  <si>
    <t>ENERGÍA GENERADA (kWh)</t>
  </si>
  <si>
    <t>Consumo nuevo intermedio (kWh)</t>
  </si>
  <si>
    <t>Coonsumo nuevo punta (kWh)</t>
  </si>
  <si>
    <t>Consumo nuevo base (kWh)</t>
  </si>
  <si>
    <t>kWh intermedio   ($/KWH)</t>
  </si>
  <si>
    <t>ENERGÍA BASE ($/KWH)</t>
  </si>
  <si>
    <t>ENERGÍAINTERMEDIO ($/KWH)</t>
  </si>
  <si>
    <t>ENERGÍA PUNTA ($/KWH)</t>
  </si>
  <si>
    <t>ENERGÍA INTERMEDIO ($/KWH)</t>
  </si>
  <si>
    <t xml:space="preserve">Energía generada en intermedio </t>
  </si>
  <si>
    <t xml:space="preserve">Consumo intermedio </t>
  </si>
  <si>
    <t xml:space="preserve">Consumo resultante </t>
  </si>
  <si>
    <t>Abonado</t>
  </si>
  <si>
    <t xml:space="preserve">Energía a pagar en intermedio </t>
  </si>
  <si>
    <t xml:space="preserve">Energía abonada en intermedio </t>
  </si>
  <si>
    <t xml:space="preserve">Conversión de intermedio a punta </t>
  </si>
  <si>
    <t xml:space="preserve">Saldo restante después de contraprestación </t>
  </si>
  <si>
    <t xml:space="preserve">Saldo disponible mes tras mes </t>
  </si>
  <si>
    <t xml:space="preserve">Energía a pagar en punta </t>
  </si>
  <si>
    <t xml:space="preserve">Compensación intermedio a punta </t>
  </si>
  <si>
    <t xml:space="preserve">Compensación intermedio a intermedio  </t>
  </si>
  <si>
    <t xml:space="preserve">Conversión de intermedio a intermedio </t>
  </si>
  <si>
    <t xml:space="preserve">Compensación de intermedio a punta ( Saldo final punta) </t>
  </si>
  <si>
    <t>Compensación de intermedio a intermedio (saldo final intermedio)</t>
  </si>
  <si>
    <t>Compensación intermedio a base</t>
  </si>
  <si>
    <t xml:space="preserve">Energía consumida en intermedio </t>
  </si>
  <si>
    <t>Energía consumida en base</t>
  </si>
  <si>
    <t xml:space="preserve">Conversión de base a intermedio </t>
  </si>
  <si>
    <t>Compensación de intermedio a base (saldo final base)</t>
  </si>
  <si>
    <t xml:space="preserve">UVIE </t>
  </si>
  <si>
    <t xml:space="preserve">UIIE </t>
  </si>
  <si>
    <t xml:space="preserve">adecuaciones a la Instalación eléctrica existente </t>
  </si>
  <si>
    <t xml:space="preserve">Adaptaciones estructurales </t>
  </si>
  <si>
    <t xml:space="preserve">Cambios de transformador </t>
  </si>
  <si>
    <t xml:space="preserve">Ingeniería </t>
  </si>
  <si>
    <t xml:space="preserve">Levantamiento tecnico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</si>
</sst>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b/>
      <i/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70C0"/>
      </right>
      <top style="thin">
        <color theme="0"/>
      </top>
      <bottom style="thin">
        <color theme="0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0070C0"/>
      </right>
      <top/>
      <bottom style="thin">
        <color theme="0"/>
      </bottom>
      <diagonal/>
    </border>
    <border>
      <left style="thin">
        <color rgb="FF0070C0"/>
      </left>
      <right/>
      <top style="thin">
        <color rgb="FF0070C0"/>
      </top>
      <bottom style="medium">
        <color rgb="FF0070C0"/>
      </bottom>
      <diagonal/>
    </border>
    <border>
      <left/>
      <right/>
      <top style="thin">
        <color rgb="FF0070C0"/>
      </top>
      <bottom style="medium">
        <color rgb="FF0070C0"/>
      </bottom>
      <diagonal/>
    </border>
    <border>
      <left/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249977111117893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medium">
        <color theme="0" tint="-0.34998626667073579"/>
      </bottom>
      <diagonal/>
    </border>
    <border>
      <left/>
      <right/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249977111117893"/>
      </right>
      <top style="medium">
        <color theme="0" tint="-0.499984740745262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499984740745262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499984740745262"/>
      </right>
      <top style="medium">
        <color theme="0" tint="-0.499984740745262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499984740745262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499984740745262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499984740745262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499984740745262"/>
      </bottom>
      <diagonal/>
    </border>
    <border>
      <left style="thin">
        <color theme="0" tint="-0.249977111117893"/>
      </left>
      <right style="medium">
        <color theme="0" tint="-0.499984740745262"/>
      </right>
      <top style="thin">
        <color theme="0" tint="-0.249977111117893"/>
      </top>
      <bottom style="medium">
        <color theme="0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/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/>
      <bottom style="medium">
        <color indexed="64"/>
      </bottom>
      <diagonal/>
    </border>
    <border>
      <left style="medium">
        <color theme="0" tint="-0.499984740745262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499984740745262"/>
      </left>
      <right style="thin">
        <color theme="0" tint="-0.249977111117893"/>
      </right>
      <top style="thin">
        <color theme="0" tint="-0.249977111117893"/>
      </top>
      <bottom style="medium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34998626667073579"/>
      </bottom>
      <diagonal/>
    </border>
    <border>
      <left/>
      <right/>
      <top style="medium">
        <color theme="0" tint="-0.499984740745262"/>
      </top>
      <bottom style="medium">
        <color theme="0" tint="-0.34998626667073579"/>
      </bottom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34998626667073579"/>
      </right>
      <top style="medium">
        <color theme="0" tint="-0.499984740745262"/>
      </top>
      <bottom style="medium">
        <color theme="0" tint="-0.34998626667073579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499984740745262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indexed="64"/>
      </right>
      <top/>
      <bottom style="medium">
        <color indexed="64"/>
      </bottom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 style="medium">
        <color indexed="64"/>
      </right>
      <top style="medium">
        <color indexed="64"/>
      </top>
      <bottom/>
      <diagonal/>
    </border>
    <border>
      <left style="medium">
        <color theme="0" tint="-0.499984740745262"/>
      </left>
      <right/>
      <top style="medium">
        <color indexed="64"/>
      </top>
      <bottom/>
      <diagonal/>
    </border>
    <border>
      <left style="medium">
        <color theme="0" tint="-0.499984740745262"/>
      </left>
      <right/>
      <top/>
      <bottom style="medium">
        <color indexed="64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499984740745262"/>
      </left>
      <right style="thin">
        <color theme="0" tint="-0.249977111117893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indexed="64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indexed="64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indexed="64"/>
      </right>
      <top style="medium">
        <color theme="0" tint="-0.499984740745262"/>
      </top>
      <bottom/>
      <diagonal/>
    </border>
    <border>
      <left style="thin">
        <color indexed="64"/>
      </left>
      <right style="medium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3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44" fontId="0" fillId="0" borderId="1" xfId="1" applyFont="1" applyBorder="1"/>
    <xf numFmtId="0" fontId="0" fillId="6" borderId="2" xfId="0" applyFill="1" applyBorder="1"/>
    <xf numFmtId="0" fontId="0" fillId="6" borderId="3" xfId="0" applyFill="1" applyBorder="1"/>
    <xf numFmtId="44" fontId="0" fillId="0" borderId="1" xfId="0" applyNumberFormat="1" applyBorder="1"/>
    <xf numFmtId="44" fontId="0" fillId="0" borderId="0" xfId="0" applyNumberFormat="1"/>
    <xf numFmtId="0" fontId="0" fillId="0" borderId="0" xfId="0" applyAlignment="1">
      <alignment wrapText="1"/>
    </xf>
    <xf numFmtId="0" fontId="3" fillId="7" borderId="0" xfId="0" applyFont="1" applyFill="1"/>
    <xf numFmtId="0" fontId="3" fillId="7" borderId="0" xfId="0" applyFont="1" applyFill="1" applyAlignment="1">
      <alignment wrapText="1"/>
    </xf>
    <xf numFmtId="44" fontId="0" fillId="0" borderId="0" xfId="1" applyFont="1" applyBorder="1"/>
    <xf numFmtId="0" fontId="0" fillId="0" borderId="4" xfId="0" applyBorder="1"/>
    <xf numFmtId="44" fontId="0" fillId="0" borderId="4" xfId="0" applyNumberFormat="1" applyBorder="1"/>
    <xf numFmtId="44" fontId="0" fillId="0" borderId="4" xfId="1" applyFont="1" applyBorder="1"/>
    <xf numFmtId="0" fontId="0" fillId="0" borderId="5" xfId="0" applyBorder="1"/>
    <xf numFmtId="0" fontId="0" fillId="8" borderId="0" xfId="0" applyFill="1"/>
    <xf numFmtId="44" fontId="0" fillId="8" borderId="0" xfId="0" applyNumberFormat="1" applyFill="1"/>
    <xf numFmtId="44" fontId="0" fillId="8" borderId="0" xfId="1" applyFont="1" applyFill="1" applyBorder="1"/>
    <xf numFmtId="0" fontId="0" fillId="0" borderId="4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4" borderId="19" xfId="0" applyFill="1" applyBorder="1" applyAlignment="1">
      <alignment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6" xfId="0" applyBorder="1"/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5" fillId="0" borderId="21" xfId="0" applyFont="1" applyBorder="1"/>
    <xf numFmtId="0" fontId="0" fillId="9" borderId="23" xfId="0" applyFill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9" borderId="0" xfId="0" applyFill="1" applyAlignment="1">
      <alignment horizontal="center"/>
    </xf>
    <xf numFmtId="0" fontId="0" fillId="9" borderId="0" xfId="0" applyFill="1"/>
    <xf numFmtId="0" fontId="0" fillId="9" borderId="27" xfId="0" applyFill="1" applyBorder="1"/>
    <xf numFmtId="0" fontId="0" fillId="3" borderId="27" xfId="0" applyFill="1" applyBorder="1" applyAlignment="1">
      <alignment wrapText="1"/>
    </xf>
    <xf numFmtId="0" fontId="0" fillId="9" borderId="1" xfId="0" applyFill="1" applyBorder="1"/>
    <xf numFmtId="0" fontId="0" fillId="4" borderId="30" xfId="0" applyFill="1" applyBorder="1"/>
    <xf numFmtId="0" fontId="6" fillId="0" borderId="0" xfId="0" applyFont="1"/>
    <xf numFmtId="0" fontId="8" fillId="0" borderId="0" xfId="0" applyFont="1"/>
    <xf numFmtId="0" fontId="0" fillId="0" borderId="4" xfId="0" applyBorder="1" applyAlignment="1">
      <alignment horizontal="center"/>
    </xf>
    <xf numFmtId="44" fontId="8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31" xfId="0" applyBorder="1"/>
    <xf numFmtId="44" fontId="0" fillId="0" borderId="31" xfId="1" applyFont="1" applyBorder="1"/>
    <xf numFmtId="44" fontId="0" fillId="0" borderId="31" xfId="0" applyNumberFormat="1" applyBorder="1"/>
    <xf numFmtId="0" fontId="0" fillId="0" borderId="32" xfId="0" applyBorder="1"/>
    <xf numFmtId="0" fontId="0" fillId="0" borderId="33" xfId="0" applyBorder="1"/>
    <xf numFmtId="0" fontId="0" fillId="9" borderId="34" xfId="0" applyFill="1" applyBorder="1"/>
    <xf numFmtId="0" fontId="0" fillId="9" borderId="34" xfId="0" applyFill="1" applyBorder="1" applyAlignment="1">
      <alignment wrapText="1"/>
    </xf>
    <xf numFmtId="0" fontId="0" fillId="0" borderId="34" xfId="0" applyBorder="1"/>
    <xf numFmtId="44" fontId="0" fillId="0" borderId="34" xfId="0" applyNumberFormat="1" applyBorder="1"/>
    <xf numFmtId="0" fontId="0" fillId="0" borderId="35" xfId="0" applyBorder="1"/>
    <xf numFmtId="0" fontId="0" fillId="4" borderId="29" xfId="0" applyFill="1" applyBorder="1" applyAlignment="1">
      <alignment wrapText="1"/>
    </xf>
    <xf numFmtId="0" fontId="10" fillId="8" borderId="36" xfId="0" applyFont="1" applyFill="1" applyBorder="1" applyAlignment="1">
      <alignment wrapText="1"/>
    </xf>
    <xf numFmtId="0" fontId="0" fillId="2" borderId="38" xfId="0" applyFill="1" applyBorder="1"/>
    <xf numFmtId="0" fontId="0" fillId="2" borderId="39" xfId="0" applyFill="1" applyBorder="1"/>
    <xf numFmtId="0" fontId="0" fillId="2" borderId="40" xfId="0" applyFill="1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2" borderId="45" xfId="0" applyFill="1" applyBorder="1"/>
    <xf numFmtId="0" fontId="0" fillId="2" borderId="39" xfId="0" applyFill="1" applyBorder="1" applyAlignment="1">
      <alignment wrapText="1"/>
    </xf>
    <xf numFmtId="0" fontId="0" fillId="2" borderId="46" xfId="0" applyFill="1" applyBorder="1" applyAlignment="1">
      <alignment wrapText="1"/>
    </xf>
    <xf numFmtId="0" fontId="0" fillId="2" borderId="47" xfId="0" applyFill="1" applyBorder="1"/>
    <xf numFmtId="0" fontId="0" fillId="3" borderId="40" xfId="0" applyFill="1" applyBorder="1"/>
    <xf numFmtId="0" fontId="0" fillId="2" borderId="48" xfId="0" applyFill="1" applyBorder="1"/>
    <xf numFmtId="0" fontId="0" fillId="2" borderId="49" xfId="0" applyFill="1" applyBorder="1"/>
    <xf numFmtId="0" fontId="0" fillId="0" borderId="50" xfId="0" applyBorder="1"/>
    <xf numFmtId="0" fontId="0" fillId="0" borderId="51" xfId="0" applyBorder="1"/>
    <xf numFmtId="44" fontId="0" fillId="5" borderId="3" xfId="0" applyNumberFormat="1" applyFill="1" applyBorder="1"/>
    <xf numFmtId="44" fontId="0" fillId="0" borderId="36" xfId="0" applyNumberFormat="1" applyBorder="1"/>
    <xf numFmtId="44" fontId="0" fillId="5" borderId="37" xfId="0" applyNumberFormat="1" applyFill="1" applyBorder="1"/>
    <xf numFmtId="43" fontId="0" fillId="0" borderId="4" xfId="1" applyNumberFormat="1" applyFont="1" applyBorder="1"/>
    <xf numFmtId="43" fontId="0" fillId="4" borderId="4" xfId="0" applyNumberFormat="1" applyFill="1" applyBorder="1"/>
    <xf numFmtId="0" fontId="0" fillId="4" borderId="4" xfId="0" applyFill="1" applyBorder="1" applyAlignment="1">
      <alignment horizontal="right"/>
    </xf>
    <xf numFmtId="0" fontId="0" fillId="10" borderId="54" xfId="0" applyFill="1" applyBorder="1"/>
    <xf numFmtId="0" fontId="9" fillId="10" borderId="54" xfId="0" applyFont="1" applyFill="1" applyBorder="1"/>
    <xf numFmtId="0" fontId="10" fillId="10" borderId="53" xfId="0" applyFont="1" applyFill="1" applyBorder="1" applyAlignment="1">
      <alignment wrapText="1"/>
    </xf>
    <xf numFmtId="0" fontId="0" fillId="2" borderId="46" xfId="0" applyFill="1" applyBorder="1"/>
    <xf numFmtId="0" fontId="0" fillId="2" borderId="57" xfId="0" applyFill="1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44" fontId="0" fillId="5" borderId="66" xfId="0" applyNumberFormat="1" applyFill="1" applyBorder="1"/>
    <xf numFmtId="44" fontId="2" fillId="5" borderId="67" xfId="0" applyNumberFormat="1" applyFont="1" applyFill="1" applyBorder="1"/>
    <xf numFmtId="0" fontId="0" fillId="0" borderId="56" xfId="0" applyBorder="1"/>
    <xf numFmtId="0" fontId="0" fillId="2" borderId="58" xfId="0" applyFill="1" applyBorder="1"/>
    <xf numFmtId="0" fontId="0" fillId="2" borderId="68" xfId="0" applyFill="1" applyBorder="1"/>
    <xf numFmtId="44" fontId="0" fillId="0" borderId="59" xfId="0" applyNumberFormat="1" applyBorder="1"/>
    <xf numFmtId="0" fontId="0" fillId="2" borderId="69" xfId="0" applyFill="1" applyBorder="1"/>
    <xf numFmtId="44" fontId="0" fillId="0" borderId="60" xfId="1" applyFont="1" applyBorder="1"/>
    <xf numFmtId="44" fontId="0" fillId="0" borderId="60" xfId="0" applyNumberFormat="1" applyBorder="1"/>
    <xf numFmtId="44" fontId="0" fillId="0" borderId="63" xfId="0" applyNumberFormat="1" applyBorder="1"/>
    <xf numFmtId="0" fontId="0" fillId="0" borderId="70" xfId="0" applyBorder="1"/>
    <xf numFmtId="0" fontId="0" fillId="2" borderId="47" xfId="0" applyFill="1" applyBorder="1" applyAlignment="1">
      <alignment wrapText="1"/>
    </xf>
    <xf numFmtId="0" fontId="0" fillId="0" borderId="71" xfId="0" applyBorder="1"/>
    <xf numFmtId="0" fontId="0" fillId="2" borderId="72" xfId="0" applyFill="1" applyBorder="1"/>
    <xf numFmtId="0" fontId="0" fillId="2" borderId="73" xfId="0" applyFill="1" applyBorder="1" applyAlignment="1">
      <alignment wrapText="1"/>
    </xf>
    <xf numFmtId="0" fontId="0" fillId="2" borderId="52" xfId="0" applyFill="1" applyBorder="1"/>
    <xf numFmtId="0" fontId="0" fillId="10" borderId="74" xfId="0" applyFill="1" applyBorder="1"/>
    <xf numFmtId="0" fontId="10" fillId="10" borderId="75" xfId="0" applyFont="1" applyFill="1" applyBorder="1"/>
    <xf numFmtId="0" fontId="0" fillId="10" borderId="75" xfId="0" applyFill="1" applyBorder="1"/>
    <xf numFmtId="0" fontId="0" fillId="10" borderId="76" xfId="0" applyFill="1" applyBorder="1"/>
    <xf numFmtId="0" fontId="0" fillId="10" borderId="77" xfId="0" applyFill="1" applyBorder="1"/>
    <xf numFmtId="0" fontId="0" fillId="0" borderId="76" xfId="0" applyBorder="1"/>
    <xf numFmtId="0" fontId="0" fillId="0" borderId="78" xfId="0" applyBorder="1"/>
    <xf numFmtId="0" fontId="0" fillId="0" borderId="79" xfId="0" applyBorder="1"/>
    <xf numFmtId="0" fontId="0" fillId="2" borderId="80" xfId="0" applyFill="1" applyBorder="1"/>
    <xf numFmtId="0" fontId="0" fillId="0" borderId="81" xfId="0" applyBorder="1"/>
    <xf numFmtId="0" fontId="0" fillId="5" borderId="76" xfId="0" applyFill="1" applyBorder="1"/>
    <xf numFmtId="0" fontId="0" fillId="5" borderId="78" xfId="0" applyFill="1" applyBorder="1"/>
    <xf numFmtId="0" fontId="0" fillId="5" borderId="0" xfId="0" applyFill="1"/>
    <xf numFmtId="0" fontId="0" fillId="5" borderId="82" xfId="0" applyFill="1" applyBorder="1"/>
    <xf numFmtId="0" fontId="0" fillId="4" borderId="83" xfId="0" applyFill="1" applyBorder="1"/>
    <xf numFmtId="0" fontId="0" fillId="5" borderId="84" xfId="0" applyFill="1" applyBorder="1"/>
    <xf numFmtId="0" fontId="0" fillId="3" borderId="85" xfId="0" applyFill="1" applyBorder="1" applyAlignment="1">
      <alignment wrapText="1"/>
    </xf>
    <xf numFmtId="0" fontId="0" fillId="9" borderId="86" xfId="0" applyFill="1" applyBorder="1"/>
    <xf numFmtId="0" fontId="0" fillId="4" borderId="87" xfId="0" applyFill="1" applyBorder="1"/>
    <xf numFmtId="0" fontId="0" fillId="5" borderId="88" xfId="0" applyFill="1" applyBorder="1"/>
    <xf numFmtId="0" fontId="0" fillId="5" borderId="89" xfId="0" applyFill="1" applyBorder="1"/>
    <xf numFmtId="0" fontId="0" fillId="5" borderId="90" xfId="0" applyFill="1" applyBorder="1"/>
    <xf numFmtId="0" fontId="11" fillId="5" borderId="76" xfId="0" applyFont="1" applyFill="1" applyBorder="1"/>
    <xf numFmtId="0" fontId="0" fillId="0" borderId="91" xfId="0" applyBorder="1"/>
    <xf numFmtId="0" fontId="0" fillId="5" borderId="91" xfId="0" applyFill="1" applyBorder="1"/>
    <xf numFmtId="0" fontId="10" fillId="10" borderId="92" xfId="0" applyFont="1" applyFill="1" applyBorder="1" applyAlignment="1">
      <alignment wrapText="1"/>
    </xf>
    <xf numFmtId="0" fontId="0" fillId="3" borderId="93" xfId="0" applyFill="1" applyBorder="1"/>
    <xf numFmtId="0" fontId="0" fillId="4" borderId="94" xfId="0" applyFill="1" applyBorder="1"/>
    <xf numFmtId="0" fontId="0" fillId="2" borderId="64" xfId="0" applyFill="1" applyBorder="1"/>
    <xf numFmtId="0" fontId="0" fillId="2" borderId="95" xfId="0" applyFill="1" applyBorder="1"/>
    <xf numFmtId="0" fontId="10" fillId="10" borderId="96" xfId="0" applyFont="1" applyFill="1" applyBorder="1" applyAlignment="1">
      <alignment wrapText="1"/>
    </xf>
    <xf numFmtId="0" fontId="10" fillId="10" borderId="97" xfId="0" applyFont="1" applyFill="1" applyBorder="1" applyAlignment="1">
      <alignment wrapText="1"/>
    </xf>
    <xf numFmtId="0" fontId="10" fillId="10" borderId="98" xfId="0" applyFont="1" applyFill="1" applyBorder="1" applyAlignment="1">
      <alignment wrapText="1"/>
    </xf>
    <xf numFmtId="0" fontId="10" fillId="10" borderId="99" xfId="0" applyFont="1" applyFill="1" applyBorder="1" applyAlignment="1">
      <alignment wrapText="1"/>
    </xf>
    <xf numFmtId="0" fontId="0" fillId="2" borderId="64" xfId="0" applyFill="1" applyBorder="1" applyAlignment="1">
      <alignment wrapText="1"/>
    </xf>
    <xf numFmtId="0" fontId="10" fillId="10" borderId="55" xfId="0" applyFont="1" applyFill="1" applyBorder="1" applyAlignment="1">
      <alignment wrapText="1"/>
    </xf>
    <xf numFmtId="0" fontId="0" fillId="2" borderId="65" xfId="0" applyFill="1" applyBorder="1"/>
    <xf numFmtId="44" fontId="0" fillId="0" borderId="2" xfId="1" applyFont="1" applyBorder="1"/>
    <xf numFmtId="0" fontId="0" fillId="2" borderId="3" xfId="0" applyFill="1" applyBorder="1"/>
    <xf numFmtId="44" fontId="0" fillId="0" borderId="3" xfId="1" applyFont="1" applyBorder="1"/>
    <xf numFmtId="0" fontId="11" fillId="0" borderId="76" xfId="0" applyFont="1" applyBorder="1"/>
    <xf numFmtId="0" fontId="0" fillId="0" borderId="100" xfId="0" applyBorder="1"/>
    <xf numFmtId="0" fontId="0" fillId="0" borderId="84" xfId="0" applyBorder="1"/>
    <xf numFmtId="0" fontId="0" fillId="2" borderId="101" xfId="0" applyFill="1" applyBorder="1"/>
    <xf numFmtId="44" fontId="0" fillId="0" borderId="101" xfId="0" applyNumberFormat="1" applyBorder="1"/>
    <xf numFmtId="44" fontId="0" fillId="0" borderId="101" xfId="1" applyFont="1" applyBorder="1"/>
    <xf numFmtId="44" fontId="2" fillId="5" borderId="101" xfId="1" applyFont="1" applyFill="1" applyBorder="1"/>
    <xf numFmtId="44" fontId="0" fillId="9" borderId="82" xfId="0" applyNumberFormat="1" applyFill="1" applyBorder="1"/>
    <xf numFmtId="0" fontId="0" fillId="0" borderId="88" xfId="0" applyBorder="1"/>
    <xf numFmtId="0" fontId="0" fillId="0" borderId="89" xfId="0" applyBorder="1"/>
    <xf numFmtId="0" fontId="0" fillId="0" borderId="90" xfId="0" applyBorder="1"/>
    <xf numFmtId="0" fontId="12" fillId="0" borderId="1" xfId="0" applyFont="1" applyBorder="1"/>
    <xf numFmtId="0" fontId="0" fillId="9" borderId="0" xfId="0" applyFill="1" applyAlignment="1">
      <alignment wrapText="1"/>
    </xf>
    <xf numFmtId="0" fontId="10" fillId="8" borderId="0" xfId="0" applyFont="1" applyFill="1" applyAlignment="1">
      <alignment horizontal="center" wrapText="1"/>
    </xf>
    <xf numFmtId="0" fontId="0" fillId="0" borderId="102" xfId="0" applyBorder="1"/>
    <xf numFmtId="0" fontId="0" fillId="0" borderId="103" xfId="0" applyBorder="1"/>
    <xf numFmtId="0" fontId="0" fillId="0" borderId="72" xfId="0" applyBorder="1"/>
    <xf numFmtId="0" fontId="0" fillId="2" borderId="70" xfId="0" applyFill="1" applyBorder="1" applyAlignment="1">
      <alignment wrapText="1"/>
    </xf>
    <xf numFmtId="0" fontId="0" fillId="0" borderId="104" xfId="0" applyBorder="1"/>
    <xf numFmtId="0" fontId="0" fillId="0" borderId="105" xfId="0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Gasto</a:t>
            </a:r>
            <a:r>
              <a:rPr lang="es-MX" baseline="0"/>
              <a:t> histórico vs  gasto con paneles ($)</a:t>
            </a:r>
            <a:endParaRPr lang="es-MX"/>
          </a:p>
        </c:rich>
      </c:tx>
      <c:layout>
        <c:manualLayout>
          <c:xMode val="edge"/>
          <c:yMode val="edge"/>
          <c:x val="0.362458223972003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'tabla general'!$I$5</c:f>
              <c:strCache>
                <c:ptCount val="1"/>
                <c:pt idx="0">
                  <c:v>Pago histórico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'tabla general'!$F$6:$F$17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'tabla general'!$I$6:$I$17</c:f>
              <c:numCache>
                <c:formatCode>_("$"* #,##0.00_);_("$"* \(#,##0.00\);_("$"* "-"??_);_(@_)</c:formatCode>
                <c:ptCount val="12"/>
                <c:pt idx="0">
                  <c:v>73482.446354763553</c:v>
                </c:pt>
                <c:pt idx="1">
                  <c:v>74972.425862949778</c:v>
                </c:pt>
                <c:pt idx="2">
                  <c:v>84036.426263724599</c:v>
                </c:pt>
                <c:pt idx="3">
                  <c:v>97175.145149572782</c:v>
                </c:pt>
                <c:pt idx="4">
                  <c:v>119783.37580798341</c:v>
                </c:pt>
                <c:pt idx="5">
                  <c:v>136394.30956882206</c:v>
                </c:pt>
                <c:pt idx="6">
                  <c:v>132053.50288136688</c:v>
                </c:pt>
                <c:pt idx="7">
                  <c:v>146727.89543196958</c:v>
                </c:pt>
                <c:pt idx="8">
                  <c:v>144093.10602249979</c:v>
                </c:pt>
                <c:pt idx="9">
                  <c:v>145116.60266306266</c:v>
                </c:pt>
                <c:pt idx="10">
                  <c:v>110692.05638388745</c:v>
                </c:pt>
                <c:pt idx="11">
                  <c:v>99136.345880388079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43-4184-9ADC-1B46AC4C1FF7}"/>
            </c:ext>
          </c:extLst>
        </c:ser>
        <c:ser>
          <c:idx val="1"/>
          <c:order val="1"/>
          <c:tx>
            <c:strRef>
              <c:f>'tabla general'!$J$5</c:f>
              <c:strCache>
                <c:ptCount val="1"/>
                <c:pt idx="0">
                  <c:v>Pago nuevo ($)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'tabla general'!$F$6:$F$17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'tabla general'!$J$6:$J$17</c:f>
              <c:numCache>
                <c:formatCode>_("$"* #,##0.00_);_("$"* \(#,##0.00\);_("$"* "-"??_);_(@_)</c:formatCode>
                <c:ptCount val="12"/>
                <c:pt idx="0">
                  <c:v>897.13566539999988</c:v>
                </c:pt>
                <c:pt idx="1">
                  <c:v>897.13566539999988</c:v>
                </c:pt>
                <c:pt idx="2">
                  <c:v>897.13566539999988</c:v>
                </c:pt>
                <c:pt idx="3">
                  <c:v>897.13566539999988</c:v>
                </c:pt>
                <c:pt idx="4">
                  <c:v>897.13566539999988</c:v>
                </c:pt>
                <c:pt idx="5">
                  <c:v>897.13566539999988</c:v>
                </c:pt>
                <c:pt idx="6">
                  <c:v>897.13566539999988</c:v>
                </c:pt>
                <c:pt idx="7">
                  <c:v>897.13566539999988</c:v>
                </c:pt>
                <c:pt idx="8">
                  <c:v>897.13566539999988</c:v>
                </c:pt>
                <c:pt idx="9">
                  <c:v>897.13566539999988</c:v>
                </c:pt>
                <c:pt idx="10">
                  <c:v>897.13566539999988</c:v>
                </c:pt>
                <c:pt idx="11">
                  <c:v>897.13566539999988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43-4184-9ADC-1B46AC4C1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201136"/>
        <c:axId val="995216496"/>
      </c:lineChart>
      <c:catAx>
        <c:axId val="99520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5216496"/>
        <c:crosses val="autoZero"/>
        <c:auto val="1"/>
        <c:lblAlgn val="ctr"/>
        <c:lblOffset val="100"/>
        <c:noMultiLvlLbl val="0"/>
      </c:catAx>
      <c:valAx>
        <c:axId val="99521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520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259080</xdr:colOff>
      <xdr:row>4</xdr:row>
      <xdr:rowOff>228600</xdr:rowOff>
    </xdr:from>
    <xdr:to>
      <xdr:col>18</xdr:col>
      <xdr:colOff>76200</xdr:colOff>
      <xdr:row>19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2331B9-972C-80D2-9A92-642CD82C5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89DFF-B715-4167-943C-BF3E6764ACF3}">
  <dimension ref="B6:N34"/>
  <sheetViews>
    <sheetView topLeftCell="A3" workbookViewId="0">
      <selection activeCell="K9" sqref="K9"/>
    </sheetView>
  </sheetViews>
  <sheetFormatPr baseColWidth="10" defaultRowHeight="15" x14ac:dyDescent="0.25"/>
  <cols>
    <col min="7" max="7" width="15.28515625" customWidth="1"/>
    <col min="8" max="8" width="15.42578125" customWidth="1"/>
    <col min="9" max="9" width="16.7109375" customWidth="1"/>
    <col min="10" max="10" width="16.28515625" customWidth="1"/>
    <col min="12" max="12" width="16.7109375" customWidth="1"/>
    <col min="13" max="13" width="14.85546875" customWidth="1"/>
    <col min="14" max="14" width="20.28515625" customWidth="1"/>
  </cols>
  <sheetData>
    <row r="6" spans="2:14" ht="45" x14ac:dyDescent="0.25">
      <c r="G6" s="3" t="s">
        <v>12</v>
      </c>
      <c r="H6" s="4" t="s">
        <v>34</v>
      </c>
      <c r="I6" s="3" t="s">
        <v>35</v>
      </c>
      <c r="J6" s="4" t="s">
        <v>43</v>
      </c>
      <c r="K6" s="4" t="s">
        <v>82</v>
      </c>
      <c r="L6" s="37"/>
      <c r="M6" s="5" t="s">
        <v>41</v>
      </c>
      <c r="N6" s="5" t="s">
        <v>42</v>
      </c>
    </row>
    <row r="7" spans="2:14" x14ac:dyDescent="0.25">
      <c r="B7">
        <f t="shared" ref="B7:B18" si="0">ACOS(H7/100)</f>
        <v>0.11141290122941783</v>
      </c>
      <c r="C7">
        <f>B7*(360/(2*3.1416))</f>
        <v>6.3834740964143144</v>
      </c>
      <c r="F7" s="2" t="s">
        <v>0</v>
      </c>
      <c r="G7" s="1">
        <f>'CON FACTOR DE POTENCIA '!G4</f>
        <v>22737</v>
      </c>
      <c r="H7" s="1">
        <f>'CON FACTOR DE POTENCIA '!H4</f>
        <v>99.38</v>
      </c>
      <c r="I7" s="1">
        <f>'CON FACTOR DE POTENCIA '!I4</f>
        <v>22879</v>
      </c>
      <c r="J7" s="1">
        <f>ROUNDUP(IF(H7&lt;90,M7,N7),2)</f>
        <v>2.36</v>
      </c>
      <c r="K7" s="6">
        <f>'CON FACTOR DE POTENCIA '!O4</f>
        <v>2544</v>
      </c>
      <c r="M7" s="1">
        <f>ROUNDUP(IF((3/5)*((90/H7)-1)*100&lt;=120,((3/5)*((90/H7)-1))*(-1)*100,-120),2)</f>
        <v>5.67</v>
      </c>
      <c r="N7" s="6">
        <f>((1/4)*((1-(90/H7))))*100</f>
        <v>2.3596297041658278</v>
      </c>
    </row>
    <row r="8" spans="2:14" x14ac:dyDescent="0.25">
      <c r="B8">
        <f t="shared" si="0"/>
        <v>0.11923437096925027</v>
      </c>
      <c r="C8">
        <f t="shared" ref="C8:C18" si="1">B8*(360/(2*3.1416))</f>
        <v>6.8316102541587247</v>
      </c>
      <c r="D8">
        <f>G7/I7</f>
        <v>0.99379343502775475</v>
      </c>
      <c r="F8" s="2" t="s">
        <v>1</v>
      </c>
      <c r="G8" s="1">
        <f>'CON FACTOR DE POTENCIA '!G5</f>
        <v>22194</v>
      </c>
      <c r="H8" s="1">
        <f>'CON FACTOR DE POTENCIA '!H5</f>
        <v>99.29</v>
      </c>
      <c r="I8" s="1">
        <f>'CON FACTOR DE POTENCIA '!I5</f>
        <v>22353</v>
      </c>
      <c r="J8" s="1">
        <f t="shared" ref="J8:J18" si="2">ROUNDUP(IF(H8&lt;90,M8,N8),2)</f>
        <v>2.34</v>
      </c>
      <c r="K8" s="6">
        <f>'CON FACTOR DE POTENCIA '!O5</f>
        <v>2659</v>
      </c>
      <c r="M8" s="1">
        <f t="shared" ref="M8:M18" si="3">ROUNDUP(IF((3/5)*((90/H8)-1)*100&lt;=120,((3/5)*((90/H8)-1))*(-1)*100,-120),2)</f>
        <v>5.62</v>
      </c>
      <c r="N8" s="6">
        <f t="shared" ref="N8:N18" si="4">((1/4)*((1-(90/H8))))*100</f>
        <v>2.3391076644173641</v>
      </c>
    </row>
    <row r="9" spans="2:14" x14ac:dyDescent="0.25">
      <c r="B9">
        <f t="shared" si="0"/>
        <v>0.15047488846506485</v>
      </c>
      <c r="C9">
        <f t="shared" si="1"/>
        <v>8.6215558708020357</v>
      </c>
      <c r="F9" s="2" t="s">
        <v>2</v>
      </c>
      <c r="G9" s="1">
        <f>'CON FACTOR DE POTENCIA '!G6</f>
        <v>25938</v>
      </c>
      <c r="H9" s="1">
        <f>'CON FACTOR DE POTENCIA '!H6</f>
        <v>98.87</v>
      </c>
      <c r="I9" s="1">
        <f>'CON FACTOR DE POTENCIA '!I6</f>
        <v>26235</v>
      </c>
      <c r="J9" s="1">
        <f t="shared" si="2"/>
        <v>2.25</v>
      </c>
      <c r="K9" s="6">
        <f>'CON FACTOR DE POTENCIA '!O6</f>
        <v>3933</v>
      </c>
      <c r="M9" s="1">
        <f t="shared" si="3"/>
        <v>5.39</v>
      </c>
      <c r="N9" s="6">
        <f t="shared" si="4"/>
        <v>2.2428441387680795</v>
      </c>
    </row>
    <row r="10" spans="2:14" x14ac:dyDescent="0.25">
      <c r="B10">
        <f t="shared" si="0"/>
        <v>0.17342232109560451</v>
      </c>
      <c r="C10">
        <f t="shared" si="1"/>
        <v>9.9363438366465537</v>
      </c>
      <c r="F10" s="2" t="s">
        <v>3</v>
      </c>
      <c r="G10" s="1">
        <f>'CON FACTOR DE POTENCIA '!G7</f>
        <v>29570</v>
      </c>
      <c r="H10" s="1">
        <f>'CON FACTOR DE POTENCIA '!H7</f>
        <v>98.5</v>
      </c>
      <c r="I10" s="1">
        <f>'CON FACTOR DE POTENCIA '!I7</f>
        <v>30021</v>
      </c>
      <c r="J10" s="1">
        <f t="shared" si="2"/>
        <v>2.1599999999999997</v>
      </c>
      <c r="K10" s="6">
        <f>'CON FACTOR DE POTENCIA '!O7</f>
        <v>5181</v>
      </c>
      <c r="M10" s="1">
        <f t="shared" si="3"/>
        <v>5.18</v>
      </c>
      <c r="N10" s="6">
        <f t="shared" si="4"/>
        <v>2.1573604060913714</v>
      </c>
    </row>
    <row r="11" spans="2:14" x14ac:dyDescent="0.25">
      <c r="B11">
        <f t="shared" si="0"/>
        <v>0.19729700053579013</v>
      </c>
      <c r="C11">
        <f t="shared" si="1"/>
        <v>11.304259007016242</v>
      </c>
      <c r="F11" s="2" t="s">
        <v>4</v>
      </c>
      <c r="G11" s="1">
        <f>'CON FACTOR DE POTENCIA '!G8</f>
        <v>37186</v>
      </c>
      <c r="H11" s="1">
        <f>'CON FACTOR DE POTENCIA '!H8</f>
        <v>98.06</v>
      </c>
      <c r="I11" s="1">
        <f>'CON FACTOR DE POTENCIA '!I8</f>
        <v>37922</v>
      </c>
      <c r="J11" s="1">
        <f t="shared" si="2"/>
        <v>2.0599999999999996</v>
      </c>
      <c r="K11" s="6">
        <f>'CON FACTOR DE POTENCIA '!O8</f>
        <v>7434</v>
      </c>
      <c r="M11" s="1">
        <f t="shared" si="3"/>
        <v>4.9399999999999995</v>
      </c>
      <c r="N11" s="6">
        <f t="shared" si="4"/>
        <v>2.0548643687538255</v>
      </c>
    </row>
    <row r="12" spans="2:14" x14ac:dyDescent="0.25">
      <c r="B12">
        <f t="shared" si="0"/>
        <v>0.22090295495424006</v>
      </c>
      <c r="C12">
        <f t="shared" si="1"/>
        <v>12.656777403795267</v>
      </c>
      <c r="F12" s="2" t="s">
        <v>5</v>
      </c>
      <c r="G12" s="1">
        <f>'CON FACTOR DE POTENCIA '!G9</f>
        <v>41697</v>
      </c>
      <c r="H12" s="1">
        <f>'CON FACTOR DE POTENCIA '!H9</f>
        <v>97.57</v>
      </c>
      <c r="I12" s="1">
        <f>'CON FACTOR DE POTENCIA '!I9</f>
        <v>42736</v>
      </c>
      <c r="J12" s="1">
        <f t="shared" si="2"/>
        <v>1.94</v>
      </c>
      <c r="K12" s="6">
        <f>'CON FACTOR DE POTENCIA '!O9</f>
        <v>9364</v>
      </c>
      <c r="M12" s="1">
        <f t="shared" si="3"/>
        <v>4.66</v>
      </c>
      <c r="N12" s="6">
        <f t="shared" si="4"/>
        <v>1.9396330839397347</v>
      </c>
    </row>
    <row r="13" spans="2:14" x14ac:dyDescent="0.25">
      <c r="B13">
        <f t="shared" si="0"/>
        <v>0.23116561327398855</v>
      </c>
      <c r="C13">
        <f t="shared" si="1"/>
        <v>13.244783037088725</v>
      </c>
      <c r="F13" s="2" t="s">
        <v>6</v>
      </c>
      <c r="G13" s="1">
        <f>'CON FACTOR DE POTENCIA '!G10</f>
        <v>44080</v>
      </c>
      <c r="H13" s="1">
        <f>'CON FACTOR DE POTENCIA '!H10</f>
        <v>97.34</v>
      </c>
      <c r="I13" s="1">
        <f>'CON FACTOR DE POTENCIA '!I10</f>
        <v>45285</v>
      </c>
      <c r="J13" s="1">
        <f t="shared" si="2"/>
        <v>1.89</v>
      </c>
      <c r="K13" s="6">
        <f>'CON FACTOR DE POTENCIA '!O10</f>
        <v>10376</v>
      </c>
      <c r="M13" s="1">
        <f t="shared" si="3"/>
        <v>4.5299999999999994</v>
      </c>
      <c r="N13" s="6">
        <f t="shared" si="4"/>
        <v>1.885144853092255</v>
      </c>
    </row>
    <row r="14" spans="2:14" x14ac:dyDescent="0.25">
      <c r="B14">
        <f t="shared" si="0"/>
        <v>0.21062708671299579</v>
      </c>
      <c r="C14">
        <f t="shared" si="1"/>
        <v>12.068014899522296</v>
      </c>
      <c r="F14" s="2" t="s">
        <v>7</v>
      </c>
      <c r="G14" s="1">
        <f>'CON FACTOR DE POTENCIA '!G11</f>
        <v>45544</v>
      </c>
      <c r="H14" s="1">
        <f>'CON FACTOR DE POTENCIA '!H11</f>
        <v>97.79</v>
      </c>
      <c r="I14" s="1">
        <f>'CON FACTOR DE POTENCIA '!I11</f>
        <v>46574</v>
      </c>
      <c r="J14" s="1">
        <f t="shared" si="2"/>
        <v>2</v>
      </c>
      <c r="K14" s="6">
        <f>'CON FACTOR DE POTENCIA '!O11</f>
        <v>9738</v>
      </c>
      <c r="M14" s="1">
        <f t="shared" si="3"/>
        <v>4.7799999999999994</v>
      </c>
      <c r="N14" s="6">
        <f t="shared" si="4"/>
        <v>1.9915124245832916</v>
      </c>
    </row>
    <row r="15" spans="2:14" x14ac:dyDescent="0.25">
      <c r="B15">
        <f t="shared" si="0"/>
        <v>0.20870524193815165</v>
      </c>
      <c r="C15">
        <f t="shared" si="1"/>
        <v>11.957901562537337</v>
      </c>
      <c r="F15" s="2" t="s">
        <v>8</v>
      </c>
      <c r="G15" s="1">
        <f>'CON FACTOR DE POTENCIA '!G12</f>
        <v>44054</v>
      </c>
      <c r="H15" s="1">
        <f>'CON FACTOR DE POTENCIA '!H12</f>
        <v>97.83</v>
      </c>
      <c r="I15" s="1">
        <f>'CON FACTOR DE POTENCIA '!I12</f>
        <v>45032</v>
      </c>
      <c r="J15" s="1">
        <f t="shared" si="2"/>
        <v>2.0099999999999998</v>
      </c>
      <c r="K15" s="6">
        <f>'CON FACTOR DE POTENCIA '!O12</f>
        <v>9331</v>
      </c>
      <c r="M15" s="1">
        <f t="shared" si="3"/>
        <v>4.8099999999999996</v>
      </c>
      <c r="N15" s="6">
        <f t="shared" si="4"/>
        <v>2.0009199632014725</v>
      </c>
    </row>
    <row r="16" spans="2:14" x14ac:dyDescent="0.25">
      <c r="B16">
        <f t="shared" si="0"/>
        <v>0.20033484232311971</v>
      </c>
      <c r="C16">
        <f t="shared" si="1"/>
        <v>11.478314113242154</v>
      </c>
      <c r="F16" s="2" t="s">
        <v>9</v>
      </c>
      <c r="G16" s="1">
        <f>'CON FACTOR DE POTENCIA '!G13</f>
        <v>45016</v>
      </c>
      <c r="H16" s="1">
        <f>'CON FACTOR DE POTENCIA '!H13</f>
        <v>98</v>
      </c>
      <c r="I16" s="1">
        <f>'CON FACTOR DE POTENCIA '!I13</f>
        <v>45935</v>
      </c>
      <c r="J16" s="1">
        <f t="shared" si="2"/>
        <v>2.0499999999999998</v>
      </c>
      <c r="K16" s="6">
        <f>'CON FACTOR DE POTENCIA '!O13</f>
        <v>9141</v>
      </c>
      <c r="M16" s="1">
        <f t="shared" si="3"/>
        <v>4.8999999999999995</v>
      </c>
      <c r="N16" s="6">
        <f t="shared" si="4"/>
        <v>2.0408163265306118</v>
      </c>
    </row>
    <row r="17" spans="2:14" x14ac:dyDescent="0.25">
      <c r="B17">
        <f t="shared" si="0"/>
        <v>0.16079695771890434</v>
      </c>
      <c r="C17">
        <f t="shared" si="1"/>
        <v>9.212965491915833</v>
      </c>
      <c r="F17" s="2" t="s">
        <v>10</v>
      </c>
      <c r="G17" s="1">
        <f>'CON FACTOR DE POTENCIA '!G14</f>
        <v>33840</v>
      </c>
      <c r="H17" s="1">
        <f>'CON FACTOR DE POTENCIA '!H14</f>
        <v>98.71</v>
      </c>
      <c r="I17" s="1">
        <f>'CON FACTOR DE POTENCIA '!I14</f>
        <v>34283</v>
      </c>
      <c r="J17" s="1">
        <f t="shared" si="2"/>
        <v>2.21</v>
      </c>
      <c r="K17" s="6">
        <f>'CON FACTOR DE POTENCIA '!O14</f>
        <v>5489</v>
      </c>
      <c r="M17" s="1">
        <f t="shared" si="3"/>
        <v>5.3</v>
      </c>
      <c r="N17" s="6">
        <f t="shared" si="4"/>
        <v>2.2059568432782894</v>
      </c>
    </row>
    <row r="18" spans="2:14" x14ac:dyDescent="0.25">
      <c r="B18">
        <f t="shared" si="0"/>
        <v>0.19212862973418976</v>
      </c>
      <c r="C18">
        <f t="shared" si="1"/>
        <v>11.008133865595289</v>
      </c>
      <c r="F18" s="2" t="s">
        <v>11</v>
      </c>
      <c r="G18" s="1">
        <f>'CON FACTOR DE POTENCIA '!G15</f>
        <v>30641</v>
      </c>
      <c r="H18" s="1">
        <f>'CON FACTOR DE POTENCIA '!H15</f>
        <v>98.16</v>
      </c>
      <c r="I18" s="1">
        <f>'CON FACTOR DE POTENCIA '!I15</f>
        <v>31216</v>
      </c>
      <c r="J18" s="1">
        <f t="shared" si="2"/>
        <v>2.0799999999999996</v>
      </c>
      <c r="K18" s="6">
        <f>'CON FACTOR DE POTENCIA '!O15</f>
        <v>5961</v>
      </c>
      <c r="M18" s="1">
        <f t="shared" si="3"/>
        <v>4.99</v>
      </c>
      <c r="N18" s="6">
        <f t="shared" si="4"/>
        <v>2.0782396088019546</v>
      </c>
    </row>
    <row r="22" spans="2:14" ht="45" x14ac:dyDescent="0.25">
      <c r="G22" s="4" t="s">
        <v>44</v>
      </c>
      <c r="H22" s="4" t="s">
        <v>45</v>
      </c>
      <c r="I22" s="3" t="s">
        <v>35</v>
      </c>
      <c r="J22" s="4" t="s">
        <v>43</v>
      </c>
      <c r="K22" s="4" t="s">
        <v>82</v>
      </c>
      <c r="L22" s="37"/>
      <c r="M22" s="5" t="s">
        <v>41</v>
      </c>
      <c r="N22" s="5" t="s">
        <v>42</v>
      </c>
    </row>
    <row r="23" spans="2:14" x14ac:dyDescent="0.25">
      <c r="F23" s="2" t="s">
        <v>0</v>
      </c>
      <c r="G23" s="1">
        <f>'CON FACTOR DE POTENCIA '!T4</f>
        <v>0</v>
      </c>
      <c r="H23" s="1">
        <f>ROUNDUP(IF(G23&gt;0,(G23/I23)*100,100),2)</f>
        <v>100</v>
      </c>
      <c r="I23" s="1">
        <f>'CON FACTOR DE POTENCIA '!X4</f>
        <v>2544</v>
      </c>
      <c r="J23" s="1">
        <f>ROUNDUP(IF(H23&lt;90,M23,N23),2)</f>
        <v>2.5</v>
      </c>
      <c r="K23" s="6">
        <f>K7</f>
        <v>2544</v>
      </c>
      <c r="M23" s="1">
        <f>ROUNDUP(IF((3/5)*((90/H23)-1)*100&lt;=120,((3/5)*((90/H23)-1))*(-1)*100,-120),2)</f>
        <v>6</v>
      </c>
      <c r="N23" s="6">
        <f t="shared" ref="N23:N34" si="5">((1/4)*((1-(90/H23))))*100</f>
        <v>2.4999999999999996</v>
      </c>
    </row>
    <row r="24" spans="2:14" x14ac:dyDescent="0.25">
      <c r="D24">
        <f>G23/I23</f>
        <v>0</v>
      </c>
      <c r="F24" s="2" t="s">
        <v>1</v>
      </c>
      <c r="G24" s="1">
        <f>'CON FACTOR DE POTENCIA '!T5</f>
        <v>0</v>
      </c>
      <c r="H24" s="1">
        <f t="shared" ref="H24:H34" si="6">ROUNDUP(IF(G24&gt;0,(G24/I24)*100,100),2)</f>
        <v>100</v>
      </c>
      <c r="I24" s="1">
        <f>'CON FACTOR DE POTENCIA '!X5</f>
        <v>2659</v>
      </c>
      <c r="J24" s="1">
        <f t="shared" ref="J24:J34" si="7">ROUNDUP(IF(H24&lt;90,M24,N24),2)</f>
        <v>2.5</v>
      </c>
      <c r="K24" s="6">
        <f t="shared" ref="K24:K34" si="8">K8</f>
        <v>2659</v>
      </c>
      <c r="M24" s="1">
        <f>ROUNDUP(IF((3/5)*((90/H24)-1)*100&lt;=120,((3/5)*((90/H24)-1))*(-1)*100,-120),2)</f>
        <v>6</v>
      </c>
      <c r="N24" s="6">
        <f t="shared" si="5"/>
        <v>2.4999999999999996</v>
      </c>
    </row>
    <row r="25" spans="2:14" x14ac:dyDescent="0.25">
      <c r="F25" s="2" t="s">
        <v>2</v>
      </c>
      <c r="G25" s="1">
        <f>'CON FACTOR DE POTENCIA '!T6</f>
        <v>0</v>
      </c>
      <c r="H25" s="1">
        <f t="shared" si="6"/>
        <v>100</v>
      </c>
      <c r="I25" s="1">
        <f>'CON FACTOR DE POTENCIA '!X6</f>
        <v>3933</v>
      </c>
      <c r="J25" s="1">
        <f t="shared" si="7"/>
        <v>2.5</v>
      </c>
      <c r="K25" s="6">
        <f t="shared" si="8"/>
        <v>3933</v>
      </c>
      <c r="M25" s="1">
        <f t="shared" ref="M25:M34" si="9">ROUNDUP(IF((3/5)*((90/H25)-1)*100&lt;=120,((3/5)*((90/H25)-1))*(-1)*100,-120),2)</f>
        <v>6</v>
      </c>
      <c r="N25" s="6">
        <f t="shared" si="5"/>
        <v>2.4999999999999996</v>
      </c>
    </row>
    <row r="26" spans="2:14" x14ac:dyDescent="0.25">
      <c r="F26" s="2" t="s">
        <v>3</v>
      </c>
      <c r="G26" s="1">
        <f>'CON FACTOR DE POTENCIA '!T7</f>
        <v>0</v>
      </c>
      <c r="H26" s="1">
        <f t="shared" si="6"/>
        <v>100</v>
      </c>
      <c r="I26" s="1">
        <f>'CON FACTOR DE POTENCIA '!X7</f>
        <v>5181</v>
      </c>
      <c r="J26" s="1">
        <f t="shared" si="7"/>
        <v>2.5</v>
      </c>
      <c r="K26" s="6">
        <f t="shared" si="8"/>
        <v>5181</v>
      </c>
      <c r="M26" s="1">
        <f t="shared" si="9"/>
        <v>6</v>
      </c>
      <c r="N26" s="6">
        <f t="shared" si="5"/>
        <v>2.4999999999999996</v>
      </c>
    </row>
    <row r="27" spans="2:14" x14ac:dyDescent="0.25">
      <c r="D27">
        <f>SQRT((G23^2)+(K23^2))</f>
        <v>2544</v>
      </c>
      <c r="F27" s="2" t="s">
        <v>4</v>
      </c>
      <c r="G27" s="1">
        <f>'CON FACTOR DE POTENCIA '!T8</f>
        <v>0</v>
      </c>
      <c r="H27" s="1">
        <f t="shared" si="6"/>
        <v>100</v>
      </c>
      <c r="I27" s="1">
        <f>'CON FACTOR DE POTENCIA '!X8</f>
        <v>7434</v>
      </c>
      <c r="J27" s="1">
        <f t="shared" si="7"/>
        <v>2.5</v>
      </c>
      <c r="K27" s="6">
        <f t="shared" si="8"/>
        <v>7434</v>
      </c>
      <c r="M27" s="1">
        <f t="shared" si="9"/>
        <v>6</v>
      </c>
      <c r="N27" s="6">
        <f t="shared" si="5"/>
        <v>2.4999999999999996</v>
      </c>
    </row>
    <row r="28" spans="2:14" x14ac:dyDescent="0.25">
      <c r="F28" s="2" t="s">
        <v>5</v>
      </c>
      <c r="G28" s="1">
        <f>'CON FACTOR DE POTENCIA '!T9</f>
        <v>0</v>
      </c>
      <c r="H28" s="1">
        <f t="shared" si="6"/>
        <v>100</v>
      </c>
      <c r="I28" s="1">
        <f>'CON FACTOR DE POTENCIA '!X9</f>
        <v>9364</v>
      </c>
      <c r="J28" s="1">
        <f t="shared" si="7"/>
        <v>2.5</v>
      </c>
      <c r="K28" s="6">
        <f t="shared" si="8"/>
        <v>9364</v>
      </c>
      <c r="M28" s="1">
        <f t="shared" si="9"/>
        <v>6</v>
      </c>
      <c r="N28" s="6">
        <f t="shared" si="5"/>
        <v>2.4999999999999996</v>
      </c>
    </row>
    <row r="29" spans="2:14" x14ac:dyDescent="0.25">
      <c r="F29" s="2" t="s">
        <v>6</v>
      </c>
      <c r="G29" s="1">
        <f>'CON FACTOR DE POTENCIA '!T10</f>
        <v>0</v>
      </c>
      <c r="H29" s="1">
        <f t="shared" si="6"/>
        <v>100</v>
      </c>
      <c r="I29" s="1">
        <f>'CON FACTOR DE POTENCIA '!X10</f>
        <v>10376</v>
      </c>
      <c r="J29" s="1">
        <f t="shared" si="7"/>
        <v>2.5</v>
      </c>
      <c r="K29" s="6">
        <f t="shared" si="8"/>
        <v>10376</v>
      </c>
      <c r="M29" s="1">
        <f t="shared" si="9"/>
        <v>6</v>
      </c>
      <c r="N29" s="6">
        <f t="shared" si="5"/>
        <v>2.4999999999999996</v>
      </c>
    </row>
    <row r="30" spans="2:14" x14ac:dyDescent="0.25">
      <c r="F30" s="2" t="s">
        <v>7</v>
      </c>
      <c r="G30" s="1">
        <f>'CON FACTOR DE POTENCIA '!T11</f>
        <v>0</v>
      </c>
      <c r="H30" s="1">
        <f t="shared" si="6"/>
        <v>100</v>
      </c>
      <c r="I30" s="1">
        <f>'CON FACTOR DE POTENCIA '!X11</f>
        <v>9738</v>
      </c>
      <c r="J30" s="1">
        <f t="shared" si="7"/>
        <v>2.5</v>
      </c>
      <c r="K30" s="6">
        <f t="shared" si="8"/>
        <v>9738</v>
      </c>
      <c r="M30" s="1">
        <f t="shared" si="9"/>
        <v>6</v>
      </c>
      <c r="N30" s="6">
        <f t="shared" si="5"/>
        <v>2.4999999999999996</v>
      </c>
    </row>
    <row r="31" spans="2:14" x14ac:dyDescent="0.25">
      <c r="F31" s="2" t="s">
        <v>8</v>
      </c>
      <c r="G31" s="1">
        <f>'CON FACTOR DE POTENCIA '!T12</f>
        <v>0</v>
      </c>
      <c r="H31" s="1">
        <f t="shared" si="6"/>
        <v>100</v>
      </c>
      <c r="I31" s="1">
        <f>'CON FACTOR DE POTENCIA '!X12</f>
        <v>9331</v>
      </c>
      <c r="J31" s="1">
        <f t="shared" si="7"/>
        <v>2.5</v>
      </c>
      <c r="K31" s="6">
        <f t="shared" si="8"/>
        <v>9331</v>
      </c>
      <c r="M31" s="1">
        <f t="shared" si="9"/>
        <v>6</v>
      </c>
      <c r="N31" s="6">
        <f t="shared" si="5"/>
        <v>2.4999999999999996</v>
      </c>
    </row>
    <row r="32" spans="2:14" x14ac:dyDescent="0.25">
      <c r="F32" s="2" t="s">
        <v>9</v>
      </c>
      <c r="G32" s="1">
        <f>'CON FACTOR DE POTENCIA '!T13</f>
        <v>0</v>
      </c>
      <c r="H32" s="1">
        <f t="shared" si="6"/>
        <v>100</v>
      </c>
      <c r="I32" s="1">
        <f>'CON FACTOR DE POTENCIA '!X13</f>
        <v>9141</v>
      </c>
      <c r="J32" s="1">
        <f t="shared" si="7"/>
        <v>2.5</v>
      </c>
      <c r="K32" s="6">
        <f t="shared" si="8"/>
        <v>9141</v>
      </c>
      <c r="M32" s="1">
        <f t="shared" si="9"/>
        <v>6</v>
      </c>
      <c r="N32" s="6">
        <f t="shared" si="5"/>
        <v>2.4999999999999996</v>
      </c>
    </row>
    <row r="33" spans="6:14" x14ac:dyDescent="0.25">
      <c r="F33" s="2" t="s">
        <v>10</v>
      </c>
      <c r="G33" s="1">
        <f>'CON FACTOR DE POTENCIA '!T14</f>
        <v>0</v>
      </c>
      <c r="H33" s="1">
        <f t="shared" si="6"/>
        <v>100</v>
      </c>
      <c r="I33" s="1">
        <f>'CON FACTOR DE POTENCIA '!X14</f>
        <v>5489</v>
      </c>
      <c r="J33" s="1">
        <f t="shared" si="7"/>
        <v>2.5</v>
      </c>
      <c r="K33" s="6">
        <f t="shared" si="8"/>
        <v>5489</v>
      </c>
      <c r="M33" s="1">
        <f t="shared" si="9"/>
        <v>6</v>
      </c>
      <c r="N33" s="6">
        <f t="shared" si="5"/>
        <v>2.4999999999999996</v>
      </c>
    </row>
    <row r="34" spans="6:14" x14ac:dyDescent="0.25">
      <c r="F34" s="2" t="s">
        <v>11</v>
      </c>
      <c r="G34" s="1">
        <f>'CON FACTOR DE POTENCIA '!T15</f>
        <v>0</v>
      </c>
      <c r="H34" s="1">
        <f t="shared" si="6"/>
        <v>100</v>
      </c>
      <c r="I34" s="1">
        <f>'CON FACTOR DE POTENCIA '!X15</f>
        <v>5961</v>
      </c>
      <c r="J34" s="1">
        <f t="shared" si="7"/>
        <v>2.5</v>
      </c>
      <c r="K34" s="6">
        <f t="shared" si="8"/>
        <v>5961</v>
      </c>
      <c r="M34" s="1">
        <f t="shared" si="9"/>
        <v>6</v>
      </c>
      <c r="N34" s="6">
        <f t="shared" si="5"/>
        <v>2.4999999999999996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900B-FEC6-4135-B02D-30C2039C33DC}">
  <dimension ref="A1:AH130"/>
  <sheetViews>
    <sheetView topLeftCell="M2" zoomScale="81" zoomScaleNormal="40" workbookViewId="0">
      <selection activeCell="AE14" sqref="AE14"/>
    </sheetView>
  </sheetViews>
  <sheetFormatPr baseColWidth="10" defaultColWidth="8.85546875" defaultRowHeight="15" x14ac:dyDescent="0.25"/>
  <cols>
    <col min="1" max="1" width="8.28515625" customWidth="1"/>
    <col min="2" max="2" width="12.5703125" customWidth="1"/>
    <col min="3" max="3" width="17.85546875" customWidth="1"/>
    <col min="4" max="4" width="24.140625" customWidth="1"/>
    <col min="5" max="5" width="28.28515625" customWidth="1"/>
    <col min="6" max="6" width="26.5703125" customWidth="1"/>
    <col min="7" max="7" width="22.7109375" customWidth="1"/>
    <col min="8" max="8" width="20.28515625" customWidth="1"/>
    <col min="9" max="9" width="22.28515625" customWidth="1"/>
    <col min="10" max="10" width="30" customWidth="1"/>
    <col min="11" max="11" width="34.5703125" customWidth="1"/>
    <col min="12" max="12" width="37.7109375" customWidth="1"/>
    <col min="13" max="13" width="38.5703125" customWidth="1"/>
    <col min="14" max="14" width="32.28515625" customWidth="1"/>
    <col min="15" max="15" width="39.28515625" customWidth="1"/>
    <col min="16" max="16" width="34.140625" customWidth="1"/>
    <col min="17" max="17" width="20.28515625" customWidth="1"/>
    <col min="18" max="18" width="26.85546875" customWidth="1"/>
    <col min="19" max="19" width="23.28515625" customWidth="1"/>
    <col min="20" max="20" width="20.28515625" customWidth="1"/>
    <col min="21" max="21" width="23" customWidth="1"/>
    <col min="22" max="22" width="25.7109375" customWidth="1"/>
    <col min="23" max="23" width="23.7109375" customWidth="1"/>
    <col min="24" max="24" width="21.28515625" customWidth="1"/>
    <col min="25" max="25" width="15.28515625" customWidth="1"/>
    <col min="26" max="26" width="26.7109375" customWidth="1"/>
    <col min="27" max="27" width="17.28515625" customWidth="1"/>
    <col min="28" max="28" width="18.28515625" customWidth="1"/>
    <col min="29" max="29" width="29.7109375" customWidth="1"/>
    <col min="30" max="30" width="22.5703125" customWidth="1"/>
    <col min="31" max="31" width="24" customWidth="1"/>
    <col min="32" max="32" width="20.85546875" customWidth="1"/>
    <col min="33" max="33" width="20" customWidth="1"/>
  </cols>
  <sheetData>
    <row r="1" spans="3:34" ht="15.75" thickBot="1" x14ac:dyDescent="0.3">
      <c r="N1" s="12"/>
    </row>
    <row r="2" spans="3:34" ht="48" thickBot="1" x14ac:dyDescent="0.45">
      <c r="D2" s="153" t="s">
        <v>110</v>
      </c>
      <c r="E2" s="154" t="s">
        <v>111</v>
      </c>
      <c r="F2" s="154" t="s">
        <v>112</v>
      </c>
      <c r="G2" s="155" t="s">
        <v>106</v>
      </c>
      <c r="H2" s="156" t="s">
        <v>98</v>
      </c>
      <c r="J2" s="158" t="s">
        <v>99</v>
      </c>
      <c r="N2" s="158" t="s">
        <v>100</v>
      </c>
      <c r="Q2" s="72" t="s">
        <v>101</v>
      </c>
      <c r="AE2" s="147"/>
      <c r="AF2" s="145" t="s">
        <v>14</v>
      </c>
      <c r="AG2" s="133"/>
      <c r="AH2" s="134"/>
    </row>
    <row r="3" spans="3:34" ht="45.75" thickBot="1" x14ac:dyDescent="0.3">
      <c r="C3" s="122" t="s">
        <v>47</v>
      </c>
      <c r="D3" s="151" t="s">
        <v>107</v>
      </c>
      <c r="E3" s="151" t="s">
        <v>108</v>
      </c>
      <c r="F3" s="151" t="s">
        <v>109</v>
      </c>
      <c r="G3" s="152" t="s">
        <v>12</v>
      </c>
      <c r="H3" s="151" t="s">
        <v>34</v>
      </c>
      <c r="I3" s="80" t="s">
        <v>35</v>
      </c>
      <c r="J3" s="157" t="s">
        <v>23</v>
      </c>
      <c r="K3" s="81" t="s">
        <v>24</v>
      </c>
      <c r="L3" s="82" t="s">
        <v>25</v>
      </c>
      <c r="M3" s="81" t="s">
        <v>81</v>
      </c>
      <c r="N3" s="159" t="s">
        <v>26</v>
      </c>
      <c r="O3" s="84" t="s">
        <v>82</v>
      </c>
      <c r="Q3" s="73" t="s">
        <v>13</v>
      </c>
      <c r="R3" s="74" t="s">
        <v>19</v>
      </c>
      <c r="S3" s="81" t="s">
        <v>115</v>
      </c>
      <c r="T3" s="118" t="s">
        <v>32</v>
      </c>
      <c r="U3" s="121" t="s">
        <v>118</v>
      </c>
      <c r="V3" s="82" t="s">
        <v>116</v>
      </c>
      <c r="W3" s="81" t="s">
        <v>117</v>
      </c>
      <c r="X3" s="98" t="s">
        <v>38</v>
      </c>
      <c r="Y3" s="74" t="s">
        <v>39</v>
      </c>
      <c r="Z3" s="81" t="s">
        <v>40</v>
      </c>
      <c r="AA3" s="81" t="s">
        <v>23</v>
      </c>
      <c r="AB3" s="81" t="s">
        <v>24</v>
      </c>
      <c r="AC3" s="75" t="s">
        <v>25</v>
      </c>
      <c r="AE3" s="148" t="s">
        <v>103</v>
      </c>
      <c r="AF3" s="135"/>
      <c r="AG3" s="133"/>
      <c r="AH3" s="134"/>
    </row>
    <row r="4" spans="3:34" ht="30" x14ac:dyDescent="0.25">
      <c r="C4" s="85" t="s">
        <v>0</v>
      </c>
      <c r="D4" s="61">
        <v>5422</v>
      </c>
      <c r="E4" s="61">
        <v>16052</v>
      </c>
      <c r="F4" s="61">
        <v>1263</v>
      </c>
      <c r="G4" s="64">
        <f>SUM(D4:F4)</f>
        <v>22737</v>
      </c>
      <c r="H4" s="61">
        <v>99.38</v>
      </c>
      <c r="I4" s="70">
        <f>ROUNDUP(G4/(H4/100),0)</f>
        <v>22879</v>
      </c>
      <c r="J4" s="61">
        <v>78</v>
      </c>
      <c r="K4" s="61">
        <v>78</v>
      </c>
      <c r="L4" s="64">
        <f>ROUNDUP(G4/(24*R4*$N$4),0)</f>
        <v>54</v>
      </c>
      <c r="M4" s="61">
        <f>FP!J7</f>
        <v>2.36</v>
      </c>
      <c r="N4" s="65">
        <v>0.56999999999999995</v>
      </c>
      <c r="O4" s="76">
        <f t="shared" ref="O4:O15" si="0">ROUNDUP(SIN(A79)*I4,0)</f>
        <v>2544</v>
      </c>
      <c r="Q4" s="117">
        <v>5.6916000000000002</v>
      </c>
      <c r="R4" s="64">
        <v>31</v>
      </c>
      <c r="S4" s="61">
        <f t="shared" ref="S4:S15" si="1">ROUNDDOWN(($AG$5)*$AE$5*Q4*R4,0)</f>
        <v>32981</v>
      </c>
      <c r="T4" s="65">
        <f>SUM(U4:W4)</f>
        <v>0</v>
      </c>
      <c r="U4" s="117">
        <f>L118</f>
        <v>0</v>
      </c>
      <c r="V4" s="119">
        <f>L102</f>
        <v>0</v>
      </c>
      <c r="W4" s="117">
        <f>N86</f>
        <v>0</v>
      </c>
      <c r="X4" s="64">
        <f t="shared" ref="X4:X15" si="2">ROUNDUP(SQRT((T4^2)+(O4^2)),0)</f>
        <v>2544</v>
      </c>
      <c r="Y4" s="61">
        <f>FP!H23</f>
        <v>100</v>
      </c>
      <c r="Z4" s="61">
        <f>FP!J23</f>
        <v>2.5</v>
      </c>
      <c r="AA4" s="61">
        <f t="shared" ref="AA4:AA15" si="3">J4</f>
        <v>78</v>
      </c>
      <c r="AB4" s="61">
        <v>8</v>
      </c>
      <c r="AC4" s="76">
        <f t="shared" ref="AC4:AC15" si="4">ROUNDUP(T4/(24*R4*$N$4),0)</f>
        <v>0</v>
      </c>
      <c r="AE4" s="149" t="s">
        <v>15</v>
      </c>
      <c r="AF4" s="135"/>
      <c r="AG4" s="53" t="s">
        <v>18</v>
      </c>
      <c r="AH4" s="136"/>
    </row>
    <row r="5" spans="3:34" ht="15.75" thickBot="1" x14ac:dyDescent="0.3">
      <c r="C5" s="85" t="s">
        <v>1</v>
      </c>
      <c r="D5" s="61">
        <v>5293</v>
      </c>
      <c r="E5" s="61">
        <v>15668</v>
      </c>
      <c r="F5" s="61">
        <v>1233</v>
      </c>
      <c r="G5" s="64">
        <f t="shared" ref="G5:G15" si="5">SUM(D5:F5)</f>
        <v>22194</v>
      </c>
      <c r="H5" s="61">
        <v>99.29</v>
      </c>
      <c r="I5" s="70">
        <f t="shared" ref="I5:I15" si="6">ROUNDUP(G5/(H5/100),0)</f>
        <v>22353</v>
      </c>
      <c r="J5" s="61">
        <v>75</v>
      </c>
      <c r="K5" s="61">
        <v>75</v>
      </c>
      <c r="L5" s="64">
        <f t="shared" ref="L5:L15" si="7">ROUNDUP(G5/(24*R5*$N$4),0)</f>
        <v>58</v>
      </c>
      <c r="M5" s="61">
        <f>FP!J8</f>
        <v>2.34</v>
      </c>
      <c r="N5" s="65"/>
      <c r="O5" s="76">
        <f t="shared" si="0"/>
        <v>2659</v>
      </c>
      <c r="Q5" s="117">
        <v>6.4728000000000003</v>
      </c>
      <c r="R5" s="64">
        <v>28</v>
      </c>
      <c r="S5" s="61">
        <f t="shared" si="1"/>
        <v>33878</v>
      </c>
      <c r="T5" s="65">
        <f>SUM(U5:W5)</f>
        <v>0</v>
      </c>
      <c r="U5" s="117">
        <f t="shared" ref="U5:U15" si="8">L119</f>
        <v>0</v>
      </c>
      <c r="V5" s="119">
        <f t="shared" ref="V5:V15" si="9">L103</f>
        <v>0</v>
      </c>
      <c r="W5" s="117">
        <f t="shared" ref="W5:W15" si="10">N87</f>
        <v>0</v>
      </c>
      <c r="X5" s="64">
        <f t="shared" si="2"/>
        <v>2659</v>
      </c>
      <c r="Y5" s="61">
        <f>FP!H24</f>
        <v>100</v>
      </c>
      <c r="Z5" s="61">
        <f>FP!J24</f>
        <v>2.5</v>
      </c>
      <c r="AA5" s="61">
        <f t="shared" si="3"/>
        <v>75</v>
      </c>
      <c r="AB5" s="61">
        <v>8</v>
      </c>
      <c r="AC5" s="76">
        <f t="shared" si="4"/>
        <v>0</v>
      </c>
      <c r="AE5" s="150">
        <v>0.75</v>
      </c>
      <c r="AF5" s="135"/>
      <c r="AG5" s="71">
        <f>(AE11*AE14)/1000</f>
        <v>249.24</v>
      </c>
      <c r="AH5" s="136"/>
    </row>
    <row r="6" spans="3:34" ht="15.75" thickBot="1" x14ac:dyDescent="0.3">
      <c r="C6" s="85" t="s">
        <v>2</v>
      </c>
      <c r="D6" s="61">
        <v>6186</v>
      </c>
      <c r="E6" s="61">
        <v>18311</v>
      </c>
      <c r="F6" s="61">
        <v>1441</v>
      </c>
      <c r="G6" s="64">
        <f t="shared" si="5"/>
        <v>25938</v>
      </c>
      <c r="H6" s="61">
        <v>98.87</v>
      </c>
      <c r="I6" s="70">
        <f t="shared" si="6"/>
        <v>26235</v>
      </c>
      <c r="J6" s="61">
        <v>73</v>
      </c>
      <c r="K6" s="61">
        <v>73</v>
      </c>
      <c r="L6" s="64">
        <f t="shared" si="7"/>
        <v>62</v>
      </c>
      <c r="M6" s="61">
        <f>FP!J9</f>
        <v>2.25</v>
      </c>
      <c r="N6" s="65"/>
      <c r="O6" s="76">
        <f t="shared" si="0"/>
        <v>3933</v>
      </c>
      <c r="Q6" s="117">
        <v>7.2093999999999996</v>
      </c>
      <c r="R6" s="64">
        <v>31</v>
      </c>
      <c r="S6" s="61">
        <f t="shared" si="1"/>
        <v>41777</v>
      </c>
      <c r="T6" s="65">
        <f t="shared" ref="T6:T15" si="11">SUM(U6:W6)</f>
        <v>0</v>
      </c>
      <c r="U6" s="117">
        <f t="shared" si="8"/>
        <v>0</v>
      </c>
      <c r="V6" s="119">
        <f t="shared" si="9"/>
        <v>0</v>
      </c>
      <c r="W6" s="117">
        <f t="shared" si="10"/>
        <v>0</v>
      </c>
      <c r="X6" s="64">
        <f t="shared" si="2"/>
        <v>3933</v>
      </c>
      <c r="Y6" s="61">
        <f>FP!H25</f>
        <v>100</v>
      </c>
      <c r="Z6" s="61">
        <f>FP!J25</f>
        <v>2.5</v>
      </c>
      <c r="AA6" s="61">
        <f t="shared" si="3"/>
        <v>73</v>
      </c>
      <c r="AB6" s="61">
        <v>8</v>
      </c>
      <c r="AC6" s="76">
        <f t="shared" si="4"/>
        <v>0</v>
      </c>
      <c r="AE6" s="138"/>
      <c r="AF6" s="135"/>
      <c r="AG6" s="135"/>
      <c r="AH6" s="136"/>
    </row>
    <row r="7" spans="3:34" ht="30" x14ac:dyDescent="0.25">
      <c r="C7" s="85" t="s">
        <v>3</v>
      </c>
      <c r="D7" s="61">
        <v>7052</v>
      </c>
      <c r="E7" s="61">
        <v>20875</v>
      </c>
      <c r="F7" s="61">
        <v>1643</v>
      </c>
      <c r="G7" s="64">
        <f t="shared" si="5"/>
        <v>29570</v>
      </c>
      <c r="H7" s="61">
        <v>98.5</v>
      </c>
      <c r="I7" s="70">
        <f t="shared" si="6"/>
        <v>30021</v>
      </c>
      <c r="J7" s="61">
        <v>87</v>
      </c>
      <c r="K7" s="61">
        <v>87</v>
      </c>
      <c r="L7" s="64">
        <f t="shared" si="7"/>
        <v>73</v>
      </c>
      <c r="M7" s="61">
        <f>FP!J10</f>
        <v>2.1599999999999997</v>
      </c>
      <c r="N7" s="65"/>
      <c r="O7" s="76">
        <f t="shared" si="0"/>
        <v>5181</v>
      </c>
      <c r="Q7" s="117">
        <v>7.3445</v>
      </c>
      <c r="R7" s="64">
        <v>30</v>
      </c>
      <c r="S7" s="61">
        <f t="shared" si="1"/>
        <v>41187</v>
      </c>
      <c r="T7" s="65">
        <f t="shared" si="11"/>
        <v>0</v>
      </c>
      <c r="U7" s="117">
        <f t="shared" si="8"/>
        <v>0</v>
      </c>
      <c r="V7" s="119">
        <f t="shared" si="9"/>
        <v>0</v>
      </c>
      <c r="W7" s="117">
        <f t="shared" si="10"/>
        <v>0</v>
      </c>
      <c r="X7" s="64">
        <f t="shared" si="2"/>
        <v>5181</v>
      </c>
      <c r="Y7" s="61">
        <f>FP!H26</f>
        <v>100</v>
      </c>
      <c r="Z7" s="61">
        <f>FP!J26</f>
        <v>2.5</v>
      </c>
      <c r="AA7" s="61">
        <f t="shared" si="3"/>
        <v>87</v>
      </c>
      <c r="AB7" s="61">
        <v>8</v>
      </c>
      <c r="AC7" s="76">
        <f t="shared" si="4"/>
        <v>0</v>
      </c>
      <c r="AE7" s="139" t="s">
        <v>17</v>
      </c>
      <c r="AF7" s="135"/>
      <c r="AG7" s="135"/>
      <c r="AH7" s="136"/>
    </row>
    <row r="8" spans="3:34" ht="15.75" thickBot="1" x14ac:dyDescent="0.3">
      <c r="C8" s="85" t="s">
        <v>4</v>
      </c>
      <c r="D8" s="61">
        <v>8868</v>
      </c>
      <c r="E8" s="61">
        <v>26252</v>
      </c>
      <c r="F8" s="61">
        <v>2066</v>
      </c>
      <c r="G8" s="64">
        <f t="shared" si="5"/>
        <v>37186</v>
      </c>
      <c r="H8" s="61">
        <v>98.06</v>
      </c>
      <c r="I8" s="70">
        <f t="shared" si="6"/>
        <v>37922</v>
      </c>
      <c r="J8" s="61">
        <v>104</v>
      </c>
      <c r="K8" s="61">
        <v>104</v>
      </c>
      <c r="L8" s="64">
        <f t="shared" si="7"/>
        <v>88</v>
      </c>
      <c r="M8" s="61">
        <f>FP!J11</f>
        <v>2.0599999999999996</v>
      </c>
      <c r="N8" s="65"/>
      <c r="O8" s="76">
        <f t="shared" si="0"/>
        <v>7434</v>
      </c>
      <c r="Q8" s="117">
        <v>7.0898000000000003</v>
      </c>
      <c r="R8" s="64">
        <v>31</v>
      </c>
      <c r="S8" s="61">
        <f t="shared" si="1"/>
        <v>41084</v>
      </c>
      <c r="T8" s="65">
        <f t="shared" si="11"/>
        <v>0</v>
      </c>
      <c r="U8" s="117">
        <f t="shared" si="8"/>
        <v>0</v>
      </c>
      <c r="V8" s="119">
        <f t="shared" si="9"/>
        <v>0</v>
      </c>
      <c r="W8" s="117">
        <f t="shared" si="10"/>
        <v>0</v>
      </c>
      <c r="X8" s="64">
        <f t="shared" si="2"/>
        <v>7434</v>
      </c>
      <c r="Y8" s="61">
        <f>FP!H27</f>
        <v>100</v>
      </c>
      <c r="Z8" s="61">
        <f>FP!J27</f>
        <v>2.5</v>
      </c>
      <c r="AA8" s="61">
        <f t="shared" si="3"/>
        <v>104</v>
      </c>
      <c r="AB8" s="61">
        <v>8</v>
      </c>
      <c r="AC8" s="76">
        <f t="shared" si="4"/>
        <v>0</v>
      </c>
      <c r="AE8" s="137">
        <f>ROUNDUP(D17/(365*Q17*AE5),2)</f>
        <v>248.94</v>
      </c>
      <c r="AF8" s="135"/>
      <c r="AG8" s="135"/>
      <c r="AH8" s="136"/>
    </row>
    <row r="9" spans="3:34" ht="15.75" thickBot="1" x14ac:dyDescent="0.3">
      <c r="C9" s="85" t="s">
        <v>5</v>
      </c>
      <c r="D9" s="61">
        <v>9944</v>
      </c>
      <c r="E9" s="61">
        <v>29437</v>
      </c>
      <c r="F9" s="61">
        <v>2316</v>
      </c>
      <c r="G9" s="64">
        <f t="shared" si="5"/>
        <v>41697</v>
      </c>
      <c r="H9" s="61">
        <v>97.57</v>
      </c>
      <c r="I9" s="70">
        <f t="shared" si="6"/>
        <v>42736</v>
      </c>
      <c r="J9" s="61">
        <v>109</v>
      </c>
      <c r="K9" s="61">
        <v>109</v>
      </c>
      <c r="L9" s="64">
        <f t="shared" si="7"/>
        <v>102</v>
      </c>
      <c r="M9" s="61">
        <f>FP!J12</f>
        <v>1.94</v>
      </c>
      <c r="N9" s="65"/>
      <c r="O9" s="76">
        <f t="shared" si="0"/>
        <v>9364</v>
      </c>
      <c r="Q9" s="117">
        <v>6.1497999999999999</v>
      </c>
      <c r="R9" s="64">
        <v>30</v>
      </c>
      <c r="S9" s="61">
        <f t="shared" si="1"/>
        <v>34487</v>
      </c>
      <c r="T9" s="65">
        <f t="shared" si="11"/>
        <v>0</v>
      </c>
      <c r="U9" s="117">
        <f t="shared" si="8"/>
        <v>0</v>
      </c>
      <c r="V9" s="119">
        <f t="shared" si="9"/>
        <v>0</v>
      </c>
      <c r="W9" s="117">
        <f t="shared" si="10"/>
        <v>0</v>
      </c>
      <c r="X9" s="64">
        <f t="shared" si="2"/>
        <v>9364</v>
      </c>
      <c r="Y9" s="61">
        <f>FP!H28</f>
        <v>100</v>
      </c>
      <c r="Z9" s="61">
        <f>FP!J28</f>
        <v>2.5</v>
      </c>
      <c r="AA9" s="61">
        <f t="shared" si="3"/>
        <v>109</v>
      </c>
      <c r="AB9" s="61">
        <v>8</v>
      </c>
      <c r="AC9" s="76">
        <f t="shared" si="4"/>
        <v>0</v>
      </c>
      <c r="AE9" s="138"/>
      <c r="AF9" s="135"/>
      <c r="AG9" s="135"/>
      <c r="AH9" s="136"/>
    </row>
    <row r="10" spans="3:34" ht="30" x14ac:dyDescent="0.25">
      <c r="C10" s="85" t="s">
        <v>6</v>
      </c>
      <c r="D10" s="61">
        <v>10512</v>
      </c>
      <c r="E10" s="61">
        <v>31120</v>
      </c>
      <c r="F10" s="61">
        <v>2448</v>
      </c>
      <c r="G10" s="64">
        <f>SUM(D10:F10)</f>
        <v>44080</v>
      </c>
      <c r="H10" s="61">
        <v>97.34</v>
      </c>
      <c r="I10" s="70">
        <f t="shared" si="6"/>
        <v>45285</v>
      </c>
      <c r="J10" s="61">
        <v>108</v>
      </c>
      <c r="K10" s="61">
        <v>77</v>
      </c>
      <c r="L10" s="64">
        <f t="shared" si="7"/>
        <v>104</v>
      </c>
      <c r="M10" s="61">
        <f>FP!J13</f>
        <v>1.89</v>
      </c>
      <c r="N10" s="65"/>
      <c r="O10" s="76">
        <f t="shared" si="0"/>
        <v>10376</v>
      </c>
      <c r="Q10" s="117">
        <v>5.5639000000000003</v>
      </c>
      <c r="R10" s="64">
        <v>31</v>
      </c>
      <c r="S10" s="61">
        <f t="shared" si="1"/>
        <v>32241</v>
      </c>
      <c r="T10" s="65">
        <f t="shared" si="11"/>
        <v>0</v>
      </c>
      <c r="U10" s="117">
        <f t="shared" si="8"/>
        <v>0</v>
      </c>
      <c r="V10" s="119">
        <f t="shared" si="9"/>
        <v>0</v>
      </c>
      <c r="W10" s="117">
        <f t="shared" si="10"/>
        <v>0</v>
      </c>
      <c r="X10" s="64">
        <f t="shared" si="2"/>
        <v>10376</v>
      </c>
      <c r="Y10" s="61">
        <f>FP!H29</f>
        <v>100</v>
      </c>
      <c r="Z10" s="61">
        <f>FP!J29</f>
        <v>2.5</v>
      </c>
      <c r="AA10" s="61">
        <f t="shared" si="3"/>
        <v>108</v>
      </c>
      <c r="AB10" s="61">
        <v>8</v>
      </c>
      <c r="AC10" s="76">
        <f t="shared" si="4"/>
        <v>0</v>
      </c>
      <c r="AE10" s="140" t="s">
        <v>92</v>
      </c>
      <c r="AF10" s="97" t="s">
        <v>104</v>
      </c>
      <c r="AG10" s="135"/>
      <c r="AH10" s="136"/>
    </row>
    <row r="11" spans="3:34" ht="15.75" thickBot="1" x14ac:dyDescent="0.3">
      <c r="C11" s="85" t="s">
        <v>7</v>
      </c>
      <c r="D11" s="61">
        <v>10861</v>
      </c>
      <c r="E11" s="61">
        <v>32153</v>
      </c>
      <c r="F11" s="61">
        <v>2530</v>
      </c>
      <c r="G11" s="64">
        <f t="shared" si="5"/>
        <v>45544</v>
      </c>
      <c r="H11" s="61">
        <v>97.79</v>
      </c>
      <c r="I11" s="70">
        <f t="shared" si="6"/>
        <v>46574</v>
      </c>
      <c r="J11" s="61">
        <v>109</v>
      </c>
      <c r="K11" s="61">
        <v>109</v>
      </c>
      <c r="L11" s="64">
        <f t="shared" si="7"/>
        <v>108</v>
      </c>
      <c r="M11" s="61">
        <f>FP!J14</f>
        <v>2</v>
      </c>
      <c r="N11" s="65"/>
      <c r="O11" s="76">
        <f t="shared" si="0"/>
        <v>9738</v>
      </c>
      <c r="Q11" s="117">
        <v>5.6365999999999996</v>
      </c>
      <c r="R11" s="64">
        <v>31</v>
      </c>
      <c r="S11" s="61">
        <f t="shared" si="1"/>
        <v>32663</v>
      </c>
      <c r="T11" s="65">
        <f t="shared" si="11"/>
        <v>0</v>
      </c>
      <c r="U11" s="117">
        <f t="shared" si="8"/>
        <v>0</v>
      </c>
      <c r="V11" s="119">
        <f t="shared" si="9"/>
        <v>0</v>
      </c>
      <c r="W11" s="117">
        <f t="shared" si="10"/>
        <v>0</v>
      </c>
      <c r="X11" s="64">
        <f t="shared" si="2"/>
        <v>9738</v>
      </c>
      <c r="Y11" s="61">
        <f>FP!H30</f>
        <v>100</v>
      </c>
      <c r="Z11" s="61">
        <f>FP!J30</f>
        <v>2.5</v>
      </c>
      <c r="AA11" s="61">
        <f t="shared" si="3"/>
        <v>109</v>
      </c>
      <c r="AB11" s="61">
        <v>8</v>
      </c>
      <c r="AC11" s="76">
        <f t="shared" si="4"/>
        <v>0</v>
      </c>
      <c r="AE11" s="141">
        <v>620</v>
      </c>
      <c r="AF11" s="95"/>
      <c r="AG11" s="135"/>
      <c r="AH11" s="136"/>
    </row>
    <row r="12" spans="3:34" ht="15.75" thickBot="1" x14ac:dyDescent="0.3">
      <c r="C12" s="85" t="s">
        <v>8</v>
      </c>
      <c r="D12" s="61">
        <v>10506</v>
      </c>
      <c r="E12" s="61">
        <v>31101</v>
      </c>
      <c r="F12" s="61">
        <v>2447</v>
      </c>
      <c r="G12" s="64">
        <f t="shared" si="5"/>
        <v>44054</v>
      </c>
      <c r="H12" s="61">
        <v>97.83</v>
      </c>
      <c r="I12" s="70">
        <f t="shared" si="6"/>
        <v>45032</v>
      </c>
      <c r="J12" s="61">
        <v>109</v>
      </c>
      <c r="K12" s="61">
        <v>109</v>
      </c>
      <c r="L12" s="64">
        <f t="shared" si="7"/>
        <v>108</v>
      </c>
      <c r="M12" s="61">
        <f>FP!J15</f>
        <v>2.0099999999999998</v>
      </c>
      <c r="N12" s="65"/>
      <c r="O12" s="76">
        <f t="shared" si="0"/>
        <v>9331</v>
      </c>
      <c r="Q12" s="117">
        <v>5.5228999999999999</v>
      </c>
      <c r="R12" s="64">
        <v>30</v>
      </c>
      <c r="S12" s="61">
        <f t="shared" si="1"/>
        <v>30971</v>
      </c>
      <c r="T12" s="65">
        <f t="shared" si="11"/>
        <v>0</v>
      </c>
      <c r="U12" s="117">
        <f t="shared" si="8"/>
        <v>0</v>
      </c>
      <c r="V12" s="119">
        <f t="shared" si="9"/>
        <v>0</v>
      </c>
      <c r="W12" s="117">
        <f t="shared" si="10"/>
        <v>0</v>
      </c>
      <c r="X12" s="64">
        <f t="shared" si="2"/>
        <v>9331</v>
      </c>
      <c r="Y12" s="61">
        <f>FP!H31</f>
        <v>100</v>
      </c>
      <c r="Z12" s="61">
        <f>FP!J31</f>
        <v>2.5</v>
      </c>
      <c r="AA12" s="61">
        <f t="shared" si="3"/>
        <v>109</v>
      </c>
      <c r="AB12" s="61">
        <v>8</v>
      </c>
      <c r="AC12" s="76">
        <f t="shared" si="4"/>
        <v>0</v>
      </c>
      <c r="AE12" s="138"/>
      <c r="AF12" s="135"/>
      <c r="AG12" s="135"/>
      <c r="AH12" s="136"/>
    </row>
    <row r="13" spans="3:34" ht="30" x14ac:dyDescent="0.25">
      <c r="C13" s="85" t="s">
        <v>9</v>
      </c>
      <c r="D13" s="61">
        <v>10735</v>
      </c>
      <c r="E13" s="61">
        <v>31781</v>
      </c>
      <c r="F13" s="61">
        <v>2500</v>
      </c>
      <c r="G13" s="64">
        <f t="shared" si="5"/>
        <v>45016</v>
      </c>
      <c r="H13" s="61">
        <v>98</v>
      </c>
      <c r="I13" s="70">
        <f t="shared" si="6"/>
        <v>45935</v>
      </c>
      <c r="J13" s="61">
        <v>113</v>
      </c>
      <c r="K13" s="61">
        <v>113</v>
      </c>
      <c r="L13" s="64">
        <f t="shared" si="7"/>
        <v>107</v>
      </c>
      <c r="M13" s="61">
        <f>FP!J16</f>
        <v>2.0499999999999998</v>
      </c>
      <c r="N13" s="65"/>
      <c r="O13" s="76">
        <f t="shared" si="0"/>
        <v>9141</v>
      </c>
      <c r="Q13" s="117">
        <v>6.3444000000000003</v>
      </c>
      <c r="R13" s="64">
        <v>31</v>
      </c>
      <c r="S13" s="61">
        <f t="shared" si="1"/>
        <v>36764</v>
      </c>
      <c r="T13" s="65">
        <f t="shared" si="11"/>
        <v>0</v>
      </c>
      <c r="U13" s="117">
        <f t="shared" si="8"/>
        <v>0</v>
      </c>
      <c r="V13" s="119">
        <f t="shared" si="9"/>
        <v>0</v>
      </c>
      <c r="W13" s="117">
        <f t="shared" si="10"/>
        <v>0</v>
      </c>
      <c r="X13" s="64">
        <f t="shared" si="2"/>
        <v>9141</v>
      </c>
      <c r="Y13" s="61">
        <f>FP!H32</f>
        <v>100</v>
      </c>
      <c r="Z13" s="61">
        <f>FP!J32</f>
        <v>2.5</v>
      </c>
      <c r="AA13" s="61">
        <f t="shared" si="3"/>
        <v>113</v>
      </c>
      <c r="AB13" s="61">
        <v>8</v>
      </c>
      <c r="AC13" s="76">
        <f t="shared" si="4"/>
        <v>0</v>
      </c>
      <c r="AE13" s="140" t="s">
        <v>93</v>
      </c>
      <c r="AF13" s="97" t="s">
        <v>105</v>
      </c>
      <c r="AG13" s="135"/>
      <c r="AH13" s="136"/>
    </row>
    <row r="14" spans="3:34" ht="15.75" thickBot="1" x14ac:dyDescent="0.3">
      <c r="C14" s="85" t="s">
        <v>10</v>
      </c>
      <c r="D14" s="61">
        <v>8070</v>
      </c>
      <c r="E14" s="61">
        <v>23890</v>
      </c>
      <c r="F14" s="61">
        <v>1880</v>
      </c>
      <c r="G14" s="64">
        <f t="shared" si="5"/>
        <v>33840</v>
      </c>
      <c r="H14" s="61">
        <v>98.71</v>
      </c>
      <c r="I14" s="70">
        <f t="shared" si="6"/>
        <v>34283</v>
      </c>
      <c r="J14" s="61">
        <v>104</v>
      </c>
      <c r="K14" s="61">
        <v>104</v>
      </c>
      <c r="L14" s="64">
        <f t="shared" si="7"/>
        <v>83</v>
      </c>
      <c r="M14" s="61">
        <f>FP!J17</f>
        <v>2.21</v>
      </c>
      <c r="N14" s="65"/>
      <c r="O14" s="76">
        <f t="shared" si="0"/>
        <v>5489</v>
      </c>
      <c r="Q14" s="117">
        <v>6.1849999999999996</v>
      </c>
      <c r="R14" s="64">
        <v>30</v>
      </c>
      <c r="S14" s="61">
        <f t="shared" si="1"/>
        <v>34684</v>
      </c>
      <c r="T14" s="65">
        <f t="shared" si="11"/>
        <v>0</v>
      </c>
      <c r="U14" s="117">
        <f t="shared" si="8"/>
        <v>0</v>
      </c>
      <c r="V14" s="119">
        <f t="shared" si="9"/>
        <v>0</v>
      </c>
      <c r="W14" s="117">
        <f t="shared" si="10"/>
        <v>0</v>
      </c>
      <c r="X14" s="64">
        <f t="shared" si="2"/>
        <v>5489</v>
      </c>
      <c r="Y14" s="61">
        <f>FP!H33</f>
        <v>100</v>
      </c>
      <c r="Z14" s="61">
        <f>FP!J33</f>
        <v>2.5</v>
      </c>
      <c r="AA14" s="61">
        <f t="shared" si="3"/>
        <v>104</v>
      </c>
      <c r="AB14" s="61">
        <v>8</v>
      </c>
      <c r="AC14" s="76">
        <f t="shared" si="4"/>
        <v>0</v>
      </c>
      <c r="AE14" s="141">
        <v>402</v>
      </c>
      <c r="AF14" s="96"/>
      <c r="AG14" s="135"/>
      <c r="AH14" s="136"/>
    </row>
    <row r="15" spans="3:34" ht="15.75" thickBot="1" x14ac:dyDescent="0.3">
      <c r="C15" s="86" t="s">
        <v>11</v>
      </c>
      <c r="D15" s="78">
        <v>7307</v>
      </c>
      <c r="E15" s="61">
        <v>21632</v>
      </c>
      <c r="F15" s="61">
        <v>1702</v>
      </c>
      <c r="G15" s="77">
        <f t="shared" si="5"/>
        <v>30641</v>
      </c>
      <c r="H15" s="78">
        <v>98.16</v>
      </c>
      <c r="I15" s="87">
        <f t="shared" si="6"/>
        <v>31216</v>
      </c>
      <c r="J15" s="78">
        <v>88</v>
      </c>
      <c r="K15" s="78">
        <v>88</v>
      </c>
      <c r="L15" s="77">
        <f t="shared" si="7"/>
        <v>73</v>
      </c>
      <c r="M15" s="78">
        <f>FP!J18</f>
        <v>2.0799999999999996</v>
      </c>
      <c r="N15" s="88"/>
      <c r="O15" s="79">
        <f t="shared" si="0"/>
        <v>5961</v>
      </c>
      <c r="Q15" s="117">
        <v>5.5872000000000002</v>
      </c>
      <c r="R15" s="77">
        <v>31</v>
      </c>
      <c r="S15" s="78">
        <f t="shared" si="1"/>
        <v>32376</v>
      </c>
      <c r="T15" s="65">
        <f t="shared" si="11"/>
        <v>0</v>
      </c>
      <c r="U15" s="117">
        <f t="shared" si="8"/>
        <v>0</v>
      </c>
      <c r="V15" s="119">
        <f t="shared" si="9"/>
        <v>0</v>
      </c>
      <c r="W15" s="117">
        <f t="shared" si="10"/>
        <v>0</v>
      </c>
      <c r="X15" s="77">
        <f t="shared" si="2"/>
        <v>5961</v>
      </c>
      <c r="Y15" s="78">
        <f>FP!H34</f>
        <v>100</v>
      </c>
      <c r="Z15" s="78">
        <f>FP!J34</f>
        <v>2.5</v>
      </c>
      <c r="AA15" s="78">
        <f t="shared" si="3"/>
        <v>88</v>
      </c>
      <c r="AB15" s="78">
        <v>8</v>
      </c>
      <c r="AC15" s="79">
        <f t="shared" si="4"/>
        <v>0</v>
      </c>
      <c r="AE15" s="138"/>
      <c r="AF15" s="135"/>
      <c r="AG15" s="135"/>
      <c r="AH15" s="136"/>
    </row>
    <row r="16" spans="3:34" ht="30" x14ac:dyDescent="0.25">
      <c r="P16" s="178"/>
      <c r="Q16" s="180" t="s">
        <v>31</v>
      </c>
      <c r="S16" s="120" t="s">
        <v>16</v>
      </c>
      <c r="U16" s="177">
        <f>SUM(U4:U15)</f>
        <v>0</v>
      </c>
      <c r="AE16" s="138"/>
      <c r="AF16" s="135"/>
      <c r="AG16" s="135"/>
      <c r="AH16" s="136"/>
    </row>
    <row r="17" spans="3:34" ht="15.75" thickBot="1" x14ac:dyDescent="0.3">
      <c r="C17" s="3" t="s">
        <v>16</v>
      </c>
      <c r="D17" s="1">
        <f>SUM(G4:G15)</f>
        <v>422497</v>
      </c>
      <c r="F17">
        <f>G4/I4</f>
        <v>0.99379343502775475</v>
      </c>
      <c r="Q17" s="179">
        <f>ROUNDDOWN(AVERAGE(Q4:Q15),1)</f>
        <v>6.2</v>
      </c>
      <c r="S17" s="1">
        <f>SUM(S4:S15)</f>
        <v>425093</v>
      </c>
      <c r="AE17" s="142"/>
      <c r="AF17" s="143"/>
      <c r="AG17" s="143"/>
      <c r="AH17" s="144"/>
    </row>
    <row r="19" spans="3:34" ht="15.75" thickBot="1" x14ac:dyDescent="0.3">
      <c r="X19" s="8" t="s">
        <v>29</v>
      </c>
      <c r="Y19" s="9"/>
    </row>
    <row r="20" spans="3:34" ht="15.75" thickBot="1" x14ac:dyDescent="0.3">
      <c r="C20" s="123"/>
      <c r="D20" s="124" t="s">
        <v>102</v>
      </c>
      <c r="E20" s="125"/>
      <c r="F20" s="126"/>
      <c r="G20" s="126"/>
      <c r="H20" s="127"/>
      <c r="I20" s="128"/>
      <c r="J20" s="129"/>
      <c r="L20" s="109"/>
      <c r="M20" s="99" t="s">
        <v>20</v>
      </c>
      <c r="N20" s="99" t="s">
        <v>120</v>
      </c>
      <c r="O20" s="99" t="s">
        <v>121</v>
      </c>
      <c r="P20" s="99" t="s">
        <v>122</v>
      </c>
      <c r="Q20" s="99" t="s">
        <v>21</v>
      </c>
      <c r="R20" s="99" t="s">
        <v>22</v>
      </c>
      <c r="S20" s="99" t="s">
        <v>37</v>
      </c>
      <c r="T20" s="99" t="s">
        <v>36</v>
      </c>
      <c r="U20" s="99" t="s">
        <v>16</v>
      </c>
      <c r="V20" s="110" t="s">
        <v>30</v>
      </c>
      <c r="X20" s="3" t="s">
        <v>27</v>
      </c>
      <c r="Y20" s="3" t="s">
        <v>28</v>
      </c>
      <c r="AE20">
        <f>AE8/0.62</f>
        <v>401.51612903225805</v>
      </c>
    </row>
    <row r="21" spans="3:34" x14ac:dyDescent="0.25">
      <c r="C21" s="130"/>
      <c r="D21" s="74" t="s">
        <v>20</v>
      </c>
      <c r="E21" s="83" t="s">
        <v>113</v>
      </c>
      <c r="F21" s="83" t="s">
        <v>119</v>
      </c>
      <c r="G21" s="83" t="s">
        <v>114</v>
      </c>
      <c r="H21" s="98" t="s">
        <v>21</v>
      </c>
      <c r="I21" s="74" t="s">
        <v>22</v>
      </c>
      <c r="J21" s="131" t="s">
        <v>46</v>
      </c>
      <c r="L21" s="111" t="s">
        <v>0</v>
      </c>
      <c r="M21" s="62">
        <f t="shared" ref="M21:M32" si="12">D22</f>
        <v>777.67</v>
      </c>
      <c r="N21" s="62">
        <f>D4*E22</f>
        <v>5571.1050000000005</v>
      </c>
      <c r="O21" s="62">
        <f t="shared" ref="O21:P21" si="13">E4*F22</f>
        <v>26585.322399999997</v>
      </c>
      <c r="P21" s="62">
        <f t="shared" si="13"/>
        <v>2320.7624999999998</v>
      </c>
      <c r="Q21" s="62">
        <f t="shared" ref="Q21:Q32" si="14">X21*H22</f>
        <v>11425.320000000002</v>
      </c>
      <c r="R21" s="62">
        <f t="shared" ref="R21:R32" si="15">I22*Y21</f>
        <v>16925.759999999998</v>
      </c>
      <c r="S21" s="63">
        <f t="shared" ref="S21:S32" si="16">(SUM(M21:R21))*0.02</f>
        <v>1272.118798</v>
      </c>
      <c r="T21" s="63">
        <f t="shared" ref="T21:T32" si="17">((M4/100)*(SUM(M21:S21)))*(-1)</f>
        <v>-1531.1221852727999</v>
      </c>
      <c r="U21" s="63">
        <f t="shared" ref="U21:U32" si="18">SUM(M21:T21)</f>
        <v>63346.936512727203</v>
      </c>
      <c r="V21" s="112">
        <f>U21*1.16</f>
        <v>73482.446354763553</v>
      </c>
      <c r="X21" s="1">
        <f t="shared" ref="X21:X32" si="19">IF(L4&lt;=J4,L4,J4)</f>
        <v>54</v>
      </c>
      <c r="Y21" s="1">
        <f t="shared" ref="Y21:Y32" si="20">IF(L4&lt;=K4,L4,K4)</f>
        <v>54</v>
      </c>
    </row>
    <row r="22" spans="3:34" x14ac:dyDescent="0.25">
      <c r="C22" s="111" t="s">
        <v>0</v>
      </c>
      <c r="D22" s="61">
        <v>777.67</v>
      </c>
      <c r="E22" s="65">
        <v>1.0275000000000001</v>
      </c>
      <c r="F22" s="117">
        <v>1.6561999999999999</v>
      </c>
      <c r="G22" s="117">
        <v>1.8374999999999999</v>
      </c>
      <c r="H22" s="64">
        <v>211.58</v>
      </c>
      <c r="I22" s="61">
        <v>313.44</v>
      </c>
      <c r="J22" s="100"/>
      <c r="L22" s="111" t="s">
        <v>1</v>
      </c>
      <c r="M22" s="62">
        <f t="shared" si="12"/>
        <v>777.67</v>
      </c>
      <c r="N22" s="62">
        <f t="shared" ref="N22:N32" si="21">D5*E23</f>
        <v>5438.5575000000008</v>
      </c>
      <c r="O22" s="62">
        <f t="shared" ref="O22:O32" si="22">E5*F23</f>
        <v>25949.3416</v>
      </c>
      <c r="P22" s="62">
        <f t="shared" ref="P22:P32" si="23">F5*G23</f>
        <v>2265.6374999999998</v>
      </c>
      <c r="Q22" s="62">
        <f t="shared" si="14"/>
        <v>12271.640000000001</v>
      </c>
      <c r="R22" s="62">
        <f t="shared" si="15"/>
        <v>18179.52</v>
      </c>
      <c r="S22" s="63">
        <f t="shared" si="16"/>
        <v>1297.647332</v>
      </c>
      <c r="T22" s="63">
        <f t="shared" si="17"/>
        <v>-1548.6123260087995</v>
      </c>
      <c r="U22" s="63">
        <f t="shared" si="18"/>
        <v>64631.401605991188</v>
      </c>
      <c r="V22" s="112">
        <f t="shared" ref="V22:V32" si="24">U22*1.16</f>
        <v>74972.425862949778</v>
      </c>
      <c r="X22" s="1">
        <f t="shared" si="19"/>
        <v>58</v>
      </c>
      <c r="Y22" s="1">
        <f t="shared" si="20"/>
        <v>58</v>
      </c>
    </row>
    <row r="23" spans="3:34" x14ac:dyDescent="0.25">
      <c r="C23" s="111" t="s">
        <v>1</v>
      </c>
      <c r="D23" s="61">
        <v>777.67</v>
      </c>
      <c r="E23" s="65">
        <v>1.0275000000000001</v>
      </c>
      <c r="F23" s="117">
        <v>1.6561999999999999</v>
      </c>
      <c r="G23" s="117">
        <v>1.8374999999999999</v>
      </c>
      <c r="H23" s="64">
        <v>211.58</v>
      </c>
      <c r="I23" s="61">
        <v>313.44</v>
      </c>
      <c r="J23" s="100"/>
      <c r="L23" s="111" t="s">
        <v>2</v>
      </c>
      <c r="M23" s="62">
        <f t="shared" si="12"/>
        <v>777.67</v>
      </c>
      <c r="N23" s="62">
        <f t="shared" si="21"/>
        <v>6356.1150000000007</v>
      </c>
      <c r="O23" s="62">
        <f t="shared" si="22"/>
        <v>30326.678199999998</v>
      </c>
      <c r="P23" s="62">
        <f t="shared" si="23"/>
        <v>2647.8375000000001</v>
      </c>
      <c r="Q23" s="62">
        <f t="shared" si="14"/>
        <v>13117.960000000001</v>
      </c>
      <c r="R23" s="62">
        <f t="shared" si="15"/>
        <v>19433.28</v>
      </c>
      <c r="S23" s="63">
        <f t="shared" si="16"/>
        <v>1453.190814</v>
      </c>
      <c r="T23" s="63">
        <f t="shared" si="17"/>
        <v>-1667.5364590649999</v>
      </c>
      <c r="U23" s="63">
        <f t="shared" si="18"/>
        <v>72445.195054935</v>
      </c>
      <c r="V23" s="112">
        <f t="shared" si="24"/>
        <v>84036.426263724599</v>
      </c>
      <c r="X23" s="1">
        <f t="shared" si="19"/>
        <v>62</v>
      </c>
      <c r="Y23" s="1">
        <f t="shared" si="20"/>
        <v>62</v>
      </c>
    </row>
    <row r="24" spans="3:34" x14ac:dyDescent="0.25">
      <c r="C24" s="111" t="s">
        <v>2</v>
      </c>
      <c r="D24" s="61">
        <v>777.67</v>
      </c>
      <c r="E24" s="65">
        <v>1.0275000000000001</v>
      </c>
      <c r="F24" s="117">
        <v>1.6561999999999999</v>
      </c>
      <c r="G24" s="117">
        <v>1.8374999999999999</v>
      </c>
      <c r="H24" s="64">
        <v>211.58</v>
      </c>
      <c r="I24" s="61">
        <v>313.44</v>
      </c>
      <c r="J24" s="100"/>
      <c r="L24" s="111" t="s">
        <v>3</v>
      </c>
      <c r="M24" s="62">
        <f t="shared" si="12"/>
        <v>777.67</v>
      </c>
      <c r="N24" s="62">
        <f t="shared" si="21"/>
        <v>7245.93</v>
      </c>
      <c r="O24" s="62">
        <f t="shared" si="22"/>
        <v>34573.174999999996</v>
      </c>
      <c r="P24" s="62">
        <f t="shared" si="23"/>
        <v>3019.0124999999998</v>
      </c>
      <c r="Q24" s="62">
        <f t="shared" si="14"/>
        <v>15445.34</v>
      </c>
      <c r="R24" s="62">
        <f t="shared" si="15"/>
        <v>22881.119999999999</v>
      </c>
      <c r="S24" s="63">
        <f t="shared" si="16"/>
        <v>1678.8449499999997</v>
      </c>
      <c r="T24" s="63">
        <f t="shared" si="17"/>
        <v>-1849.4155969199994</v>
      </c>
      <c r="U24" s="63">
        <f t="shared" si="18"/>
        <v>83771.676853079989</v>
      </c>
      <c r="V24" s="112">
        <f t="shared" si="24"/>
        <v>97175.145149572782</v>
      </c>
      <c r="X24" s="1">
        <f t="shared" si="19"/>
        <v>73</v>
      </c>
      <c r="Y24" s="1">
        <f t="shared" si="20"/>
        <v>73</v>
      </c>
    </row>
    <row r="25" spans="3:34" x14ac:dyDescent="0.25">
      <c r="C25" s="111" t="s">
        <v>3</v>
      </c>
      <c r="D25" s="61">
        <v>777.67</v>
      </c>
      <c r="E25" s="65">
        <v>1.0275000000000001</v>
      </c>
      <c r="F25" s="117">
        <v>1.6561999999999999</v>
      </c>
      <c r="G25" s="117">
        <v>1.8374999999999999</v>
      </c>
      <c r="H25" s="64">
        <v>211.58</v>
      </c>
      <c r="I25" s="61">
        <v>313.44</v>
      </c>
      <c r="J25" s="100"/>
      <c r="L25" s="111" t="s">
        <v>4</v>
      </c>
      <c r="M25" s="62">
        <f t="shared" si="12"/>
        <v>777.67</v>
      </c>
      <c r="N25" s="62">
        <f t="shared" si="21"/>
        <v>9111.8700000000008</v>
      </c>
      <c r="O25" s="62">
        <f t="shared" si="22"/>
        <v>43478.562399999995</v>
      </c>
      <c r="P25" s="62">
        <f t="shared" si="23"/>
        <v>3796.2749999999996</v>
      </c>
      <c r="Q25" s="62">
        <f t="shared" si="14"/>
        <v>18619.04</v>
      </c>
      <c r="R25" s="62">
        <f t="shared" si="15"/>
        <v>27582.720000000001</v>
      </c>
      <c r="S25" s="63">
        <f t="shared" si="16"/>
        <v>2067.322748</v>
      </c>
      <c r="T25" s="63">
        <f t="shared" si="17"/>
        <v>-2171.9292790487998</v>
      </c>
      <c r="U25" s="63">
        <f t="shared" si="18"/>
        <v>103261.53086895122</v>
      </c>
      <c r="V25" s="112">
        <f t="shared" si="24"/>
        <v>119783.37580798341</v>
      </c>
      <c r="X25" s="1">
        <f t="shared" si="19"/>
        <v>88</v>
      </c>
      <c r="Y25" s="1">
        <f t="shared" si="20"/>
        <v>88</v>
      </c>
    </row>
    <row r="26" spans="3:34" x14ac:dyDescent="0.25">
      <c r="C26" s="111" t="s">
        <v>4</v>
      </c>
      <c r="D26" s="61">
        <v>777.67</v>
      </c>
      <c r="E26" s="65">
        <v>1.0275000000000001</v>
      </c>
      <c r="F26" s="117">
        <v>1.6561999999999999</v>
      </c>
      <c r="G26" s="117">
        <v>1.8374999999999999</v>
      </c>
      <c r="H26" s="64">
        <v>211.58</v>
      </c>
      <c r="I26" s="61">
        <v>313.44</v>
      </c>
      <c r="J26" s="100"/>
      <c r="L26" s="111" t="s">
        <v>5</v>
      </c>
      <c r="M26" s="62">
        <f t="shared" si="12"/>
        <v>777.67</v>
      </c>
      <c r="N26" s="62">
        <f t="shared" si="21"/>
        <v>10217.460000000001</v>
      </c>
      <c r="O26" s="62">
        <f t="shared" si="22"/>
        <v>48753.559399999998</v>
      </c>
      <c r="P26" s="62">
        <f t="shared" si="23"/>
        <v>4255.6499999999996</v>
      </c>
      <c r="Q26" s="62">
        <f t="shared" si="14"/>
        <v>21581.16</v>
      </c>
      <c r="R26" s="62">
        <f t="shared" si="15"/>
        <v>31970.880000000001</v>
      </c>
      <c r="S26" s="63">
        <f t="shared" si="16"/>
        <v>2351.1275880000003</v>
      </c>
      <c r="T26" s="63">
        <f t="shared" si="17"/>
        <v>-2326.2056355672003</v>
      </c>
      <c r="U26" s="63">
        <f t="shared" si="18"/>
        <v>117581.30135243281</v>
      </c>
      <c r="V26" s="112">
        <f t="shared" si="24"/>
        <v>136394.30956882206</v>
      </c>
      <c r="X26" s="1">
        <f t="shared" si="19"/>
        <v>102</v>
      </c>
      <c r="Y26" s="1">
        <f t="shared" si="20"/>
        <v>102</v>
      </c>
    </row>
    <row r="27" spans="3:34" x14ac:dyDescent="0.25">
      <c r="C27" s="111" t="s">
        <v>5</v>
      </c>
      <c r="D27" s="61">
        <v>777.67</v>
      </c>
      <c r="E27" s="65">
        <v>1.0275000000000001</v>
      </c>
      <c r="F27" s="117">
        <v>1.6561999999999999</v>
      </c>
      <c r="G27" s="117">
        <v>1.8374999999999999</v>
      </c>
      <c r="H27" s="64">
        <v>211.58</v>
      </c>
      <c r="I27" s="61">
        <v>313.44</v>
      </c>
      <c r="J27" s="100"/>
      <c r="L27" s="111" t="s">
        <v>6</v>
      </c>
      <c r="M27" s="62">
        <f t="shared" si="12"/>
        <v>777.67</v>
      </c>
      <c r="N27" s="62">
        <f t="shared" si="21"/>
        <v>10801.080000000002</v>
      </c>
      <c r="O27" s="62">
        <f t="shared" si="22"/>
        <v>51540.943999999996</v>
      </c>
      <c r="P27" s="62">
        <f t="shared" si="23"/>
        <v>4498.2</v>
      </c>
      <c r="Q27" s="62">
        <f t="shared" si="14"/>
        <v>22004.32</v>
      </c>
      <c r="R27" s="62">
        <f t="shared" si="15"/>
        <v>24134.880000000001</v>
      </c>
      <c r="S27" s="63">
        <f t="shared" si="16"/>
        <v>2275.1418800000001</v>
      </c>
      <c r="T27" s="63">
        <f t="shared" si="17"/>
        <v>-2193.009258132</v>
      </c>
      <c r="U27" s="63">
        <f t="shared" si="18"/>
        <v>113839.226621868</v>
      </c>
      <c r="V27" s="112">
        <f t="shared" si="24"/>
        <v>132053.50288136688</v>
      </c>
      <c r="X27" s="1">
        <f t="shared" si="19"/>
        <v>104</v>
      </c>
      <c r="Y27" s="1">
        <f t="shared" si="20"/>
        <v>77</v>
      </c>
    </row>
    <row r="28" spans="3:34" x14ac:dyDescent="0.25">
      <c r="C28" s="111" t="s">
        <v>6</v>
      </c>
      <c r="D28" s="61">
        <v>777.67</v>
      </c>
      <c r="E28" s="65">
        <v>1.0275000000000001</v>
      </c>
      <c r="F28" s="117">
        <v>1.6561999999999999</v>
      </c>
      <c r="G28" s="117">
        <v>1.8374999999999999</v>
      </c>
      <c r="H28" s="64">
        <v>211.58</v>
      </c>
      <c r="I28" s="61">
        <v>313.44</v>
      </c>
      <c r="J28" s="100"/>
      <c r="L28" s="111" t="s">
        <v>7</v>
      </c>
      <c r="M28" s="62">
        <f t="shared" si="12"/>
        <v>777.67</v>
      </c>
      <c r="N28" s="62">
        <f t="shared" si="21"/>
        <v>11159.677500000002</v>
      </c>
      <c r="O28" s="62">
        <f t="shared" si="22"/>
        <v>53251.798599999995</v>
      </c>
      <c r="P28" s="62">
        <f t="shared" si="23"/>
        <v>4648.875</v>
      </c>
      <c r="Q28" s="62">
        <f t="shared" si="14"/>
        <v>22850.640000000003</v>
      </c>
      <c r="R28" s="62">
        <f t="shared" si="15"/>
        <v>33851.519999999997</v>
      </c>
      <c r="S28" s="63">
        <f t="shared" si="16"/>
        <v>2530.8036219999999</v>
      </c>
      <c r="T28" s="63">
        <f t="shared" si="17"/>
        <v>-2581.4196944400001</v>
      </c>
      <c r="U28" s="63">
        <f t="shared" si="18"/>
        <v>126489.56502755999</v>
      </c>
      <c r="V28" s="112">
        <f>U28*1.16</f>
        <v>146727.89543196958</v>
      </c>
      <c r="X28" s="1">
        <f t="shared" si="19"/>
        <v>108</v>
      </c>
      <c r="Y28" s="1">
        <f t="shared" si="20"/>
        <v>108</v>
      </c>
    </row>
    <row r="29" spans="3:34" x14ac:dyDescent="0.25">
      <c r="C29" s="111" t="s">
        <v>7</v>
      </c>
      <c r="D29" s="61">
        <v>777.67</v>
      </c>
      <c r="E29" s="65">
        <v>1.0275000000000001</v>
      </c>
      <c r="F29" s="117">
        <v>1.6561999999999999</v>
      </c>
      <c r="G29" s="117">
        <v>1.8374999999999999</v>
      </c>
      <c r="H29" s="64">
        <v>211.58</v>
      </c>
      <c r="I29" s="61">
        <v>313.44</v>
      </c>
      <c r="J29" s="100"/>
      <c r="L29" s="111" t="s">
        <v>8</v>
      </c>
      <c r="M29" s="62">
        <f t="shared" si="12"/>
        <v>777.67</v>
      </c>
      <c r="N29" s="62">
        <f t="shared" si="21"/>
        <v>10794.915000000001</v>
      </c>
      <c r="O29" s="62">
        <f t="shared" si="22"/>
        <v>51509.476199999997</v>
      </c>
      <c r="P29" s="62">
        <f t="shared" si="23"/>
        <v>4496.3625000000002</v>
      </c>
      <c r="Q29" s="62">
        <f t="shared" si="14"/>
        <v>22850.640000000003</v>
      </c>
      <c r="R29" s="62">
        <f t="shared" si="15"/>
        <v>33851.519999999997</v>
      </c>
      <c r="S29" s="63">
        <f t="shared" si="16"/>
        <v>2485.6116739999998</v>
      </c>
      <c r="T29" s="63">
        <f t="shared" si="17"/>
        <v>-2548.0005270173992</v>
      </c>
      <c r="U29" s="63">
        <f t="shared" si="18"/>
        <v>124218.19484698259</v>
      </c>
      <c r="V29" s="112">
        <f t="shared" si="24"/>
        <v>144093.10602249979</v>
      </c>
      <c r="X29" s="1">
        <f t="shared" si="19"/>
        <v>108</v>
      </c>
      <c r="Y29" s="1">
        <f t="shared" si="20"/>
        <v>108</v>
      </c>
    </row>
    <row r="30" spans="3:34" x14ac:dyDescent="0.25">
      <c r="C30" s="111" t="s">
        <v>8</v>
      </c>
      <c r="D30" s="61">
        <v>777.67</v>
      </c>
      <c r="E30" s="65">
        <v>1.0275000000000001</v>
      </c>
      <c r="F30" s="117">
        <v>1.6561999999999999</v>
      </c>
      <c r="G30" s="117">
        <v>1.8374999999999999</v>
      </c>
      <c r="H30" s="64">
        <v>211.58</v>
      </c>
      <c r="I30" s="61">
        <v>313.44</v>
      </c>
      <c r="J30" s="100"/>
      <c r="L30" s="111" t="s">
        <v>9</v>
      </c>
      <c r="M30" s="62">
        <f t="shared" si="12"/>
        <v>777.67</v>
      </c>
      <c r="N30" s="62">
        <f t="shared" si="21"/>
        <v>11030.212500000001</v>
      </c>
      <c r="O30" s="62">
        <f t="shared" si="22"/>
        <v>52635.692199999998</v>
      </c>
      <c r="P30" s="62">
        <f t="shared" si="23"/>
        <v>4593.75</v>
      </c>
      <c r="Q30" s="62">
        <f t="shared" si="14"/>
        <v>22639.06</v>
      </c>
      <c r="R30" s="62">
        <f t="shared" si="15"/>
        <v>33538.080000000002</v>
      </c>
      <c r="S30" s="63">
        <f t="shared" si="16"/>
        <v>2504.2892940000002</v>
      </c>
      <c r="T30" s="63">
        <f t="shared" si="17"/>
        <v>-2618.2344568769995</v>
      </c>
      <c r="U30" s="63">
        <f t="shared" si="18"/>
        <v>125100.51953712299</v>
      </c>
      <c r="V30" s="112">
        <f t="shared" si="24"/>
        <v>145116.60266306266</v>
      </c>
      <c r="X30" s="1">
        <f t="shared" si="19"/>
        <v>107</v>
      </c>
      <c r="Y30" s="1">
        <f t="shared" si="20"/>
        <v>107</v>
      </c>
    </row>
    <row r="31" spans="3:34" x14ac:dyDescent="0.25">
      <c r="C31" s="111" t="s">
        <v>9</v>
      </c>
      <c r="D31" s="61">
        <v>777.67</v>
      </c>
      <c r="E31" s="65">
        <v>1.0275000000000001</v>
      </c>
      <c r="F31" s="117">
        <v>1.6561999999999999</v>
      </c>
      <c r="G31" s="117">
        <v>1.8374999999999999</v>
      </c>
      <c r="H31" s="64">
        <v>211.58</v>
      </c>
      <c r="I31" s="61">
        <v>313.44</v>
      </c>
      <c r="J31" s="100"/>
      <c r="L31" s="111" t="s">
        <v>10</v>
      </c>
      <c r="M31" s="62">
        <f t="shared" si="12"/>
        <v>777.67</v>
      </c>
      <c r="N31" s="62">
        <f t="shared" si="21"/>
        <v>8291.9250000000011</v>
      </c>
      <c r="O31" s="62">
        <f t="shared" si="22"/>
        <v>39566.617999999995</v>
      </c>
      <c r="P31" s="62">
        <f t="shared" si="23"/>
        <v>3454.5</v>
      </c>
      <c r="Q31" s="62">
        <f t="shared" si="14"/>
        <v>17561.14</v>
      </c>
      <c r="R31" s="62">
        <f t="shared" si="15"/>
        <v>26015.52</v>
      </c>
      <c r="S31" s="63">
        <f t="shared" si="16"/>
        <v>1913.3474600000002</v>
      </c>
      <c r="T31" s="63">
        <f t="shared" si="17"/>
        <v>-2156.5339221660001</v>
      </c>
      <c r="U31" s="63">
        <f t="shared" si="18"/>
        <v>95424.186537834015</v>
      </c>
      <c r="V31" s="112">
        <f t="shared" si="24"/>
        <v>110692.05638388745</v>
      </c>
      <c r="X31" s="1">
        <f t="shared" si="19"/>
        <v>83</v>
      </c>
      <c r="Y31" s="1">
        <f t="shared" si="20"/>
        <v>83</v>
      </c>
    </row>
    <row r="32" spans="3:34" ht="15.75" thickBot="1" x14ac:dyDescent="0.3">
      <c r="C32" s="111" t="s">
        <v>10</v>
      </c>
      <c r="D32" s="61">
        <v>777.67</v>
      </c>
      <c r="E32" s="65">
        <v>1.0275000000000001</v>
      </c>
      <c r="F32" s="117">
        <v>1.6561999999999999</v>
      </c>
      <c r="G32" s="117">
        <v>1.8374999999999999</v>
      </c>
      <c r="H32" s="64">
        <v>211.58</v>
      </c>
      <c r="I32" s="61">
        <v>313.44</v>
      </c>
      <c r="J32" s="100"/>
      <c r="L32" s="113" t="s">
        <v>11</v>
      </c>
      <c r="M32" s="114">
        <f t="shared" si="12"/>
        <v>777.67</v>
      </c>
      <c r="N32" s="114">
        <f t="shared" si="21"/>
        <v>7507.942500000001</v>
      </c>
      <c r="O32" s="114">
        <f t="shared" si="22"/>
        <v>35826.918399999995</v>
      </c>
      <c r="P32" s="114">
        <f t="shared" si="23"/>
        <v>3127.4249999999997</v>
      </c>
      <c r="Q32" s="114">
        <f t="shared" si="14"/>
        <v>15445.34</v>
      </c>
      <c r="R32" s="114">
        <f t="shared" si="15"/>
        <v>22881.119999999999</v>
      </c>
      <c r="S32" s="115">
        <f t="shared" si="16"/>
        <v>1711.3283179999999</v>
      </c>
      <c r="T32" s="115">
        <f t="shared" si="17"/>
        <v>-1815.3770797343996</v>
      </c>
      <c r="U32" s="115">
        <f t="shared" si="18"/>
        <v>85462.367138265588</v>
      </c>
      <c r="V32" s="116">
        <f t="shared" si="24"/>
        <v>99136.345880388079</v>
      </c>
      <c r="X32" s="1">
        <f t="shared" si="19"/>
        <v>73</v>
      </c>
      <c r="Y32" s="1">
        <f t="shared" si="20"/>
        <v>73</v>
      </c>
    </row>
    <row r="33" spans="3:25" ht="15.75" thickBot="1" x14ac:dyDescent="0.3">
      <c r="C33" s="113" t="s">
        <v>11</v>
      </c>
      <c r="D33" s="101">
        <v>777.67</v>
      </c>
      <c r="E33" s="103">
        <v>1.0275000000000001</v>
      </c>
      <c r="F33" s="132">
        <v>1.6561999999999999</v>
      </c>
      <c r="G33" s="132">
        <v>1.8374999999999999</v>
      </c>
      <c r="H33" s="102">
        <v>211.58</v>
      </c>
      <c r="I33" s="101">
        <v>313.44</v>
      </c>
      <c r="J33" s="104"/>
      <c r="L33" s="105"/>
      <c r="M33" s="105"/>
      <c r="N33" s="105"/>
      <c r="Q33" s="106"/>
      <c r="U33" s="107">
        <f>SUM(U21:U32)</f>
        <v>1175572.1019577507</v>
      </c>
      <c r="V33" s="108">
        <f>U33*1.16</f>
        <v>1363663.6382709907</v>
      </c>
    </row>
    <row r="34" spans="3:25" ht="15.75" thickBot="1" x14ac:dyDescent="0.3"/>
    <row r="35" spans="3:25" ht="26.25" x14ac:dyDescent="0.4">
      <c r="K35" s="146"/>
      <c r="L35" s="128"/>
      <c r="M35" s="128"/>
      <c r="N35" s="163" t="s">
        <v>83</v>
      </c>
      <c r="O35" s="128"/>
      <c r="P35" s="128"/>
      <c r="Q35" s="128"/>
      <c r="R35" s="128"/>
      <c r="S35" s="128"/>
      <c r="T35" s="164"/>
      <c r="U35" s="128"/>
      <c r="V35" s="129"/>
    </row>
    <row r="36" spans="3:25" x14ac:dyDescent="0.25">
      <c r="K36" s="165"/>
      <c r="M36" s="3" t="s">
        <v>20</v>
      </c>
      <c r="N36" s="2" t="s">
        <v>120</v>
      </c>
      <c r="O36" s="2" t="s">
        <v>123</v>
      </c>
      <c r="P36" s="2" t="s">
        <v>122</v>
      </c>
      <c r="Q36" s="161" t="s">
        <v>21</v>
      </c>
      <c r="R36" s="3" t="s">
        <v>22</v>
      </c>
      <c r="S36" s="3" t="s">
        <v>33</v>
      </c>
      <c r="T36" s="3" t="s">
        <v>36</v>
      </c>
      <c r="U36" s="3" t="s">
        <v>16</v>
      </c>
      <c r="V36" s="166" t="s">
        <v>30</v>
      </c>
      <c r="X36" s="8" t="s">
        <v>29</v>
      </c>
      <c r="Y36" s="9"/>
    </row>
    <row r="37" spans="3:25" x14ac:dyDescent="0.25">
      <c r="K37" s="165"/>
      <c r="L37" s="2" t="s">
        <v>0</v>
      </c>
      <c r="M37" s="7">
        <f t="shared" ref="M37:M48" si="25">M21</f>
        <v>777.67</v>
      </c>
      <c r="N37" s="160">
        <f>U4*E22</f>
        <v>0</v>
      </c>
      <c r="O37" s="160">
        <f t="shared" ref="O37:P37" si="26">V4*F22</f>
        <v>0</v>
      </c>
      <c r="P37" s="160">
        <f t="shared" si="26"/>
        <v>0</v>
      </c>
      <c r="Q37" s="162">
        <f t="shared" ref="Q37:Q48" si="27">X38*H22</f>
        <v>0</v>
      </c>
      <c r="R37" s="7">
        <f t="shared" ref="R37:R48" si="28">I22*Y38</f>
        <v>0</v>
      </c>
      <c r="S37" s="10">
        <f t="shared" ref="S37:S48" si="29">(SUM(M37:R37))*0.02</f>
        <v>15.5534</v>
      </c>
      <c r="T37" s="10">
        <f t="shared" ref="T37:T48" si="30">((Z4/100)*SUM(M37:S37))*(-1)</f>
        <v>-19.830584999999999</v>
      </c>
      <c r="U37" s="10">
        <f t="shared" ref="U37:U48" si="31">SUM(M37:T37)</f>
        <v>773.39281499999993</v>
      </c>
      <c r="V37" s="167">
        <f t="shared" ref="V37:V49" si="32">U37*1.16</f>
        <v>897.13566539999988</v>
      </c>
      <c r="X37" s="3" t="s">
        <v>27</v>
      </c>
      <c r="Y37" s="3" t="s">
        <v>28</v>
      </c>
    </row>
    <row r="38" spans="3:25" x14ac:dyDescent="0.25">
      <c r="K38" s="165"/>
      <c r="L38" s="2" t="s">
        <v>1</v>
      </c>
      <c r="M38" s="7">
        <f t="shared" si="25"/>
        <v>777.67</v>
      </c>
      <c r="N38" s="160">
        <f t="shared" ref="N38:N48" si="33">U5*E23</f>
        <v>0</v>
      </c>
      <c r="O38" s="160">
        <f t="shared" ref="O38:O48" si="34">V5*F23</f>
        <v>0</v>
      </c>
      <c r="P38" s="160">
        <f t="shared" ref="P38:P48" si="35">W5*G23</f>
        <v>0</v>
      </c>
      <c r="Q38" s="162">
        <f t="shared" si="27"/>
        <v>0</v>
      </c>
      <c r="R38" s="7">
        <f t="shared" si="28"/>
        <v>0</v>
      </c>
      <c r="S38" s="10">
        <f t="shared" si="29"/>
        <v>15.5534</v>
      </c>
      <c r="T38" s="10">
        <f t="shared" si="30"/>
        <v>-19.830584999999999</v>
      </c>
      <c r="U38" s="10">
        <f t="shared" si="31"/>
        <v>773.39281499999993</v>
      </c>
      <c r="V38" s="167">
        <f t="shared" si="32"/>
        <v>897.13566539999988</v>
      </c>
      <c r="X38" s="1">
        <f t="shared" ref="X38:X49" si="36">IF(AC4&lt;=AA4,AC4,AA4)</f>
        <v>0</v>
      </c>
      <c r="Y38" s="1">
        <f t="shared" ref="Y38:Y49" si="37">IF(AC4&lt;=AB4,AC4,AB4)</f>
        <v>0</v>
      </c>
    </row>
    <row r="39" spans="3:25" x14ac:dyDescent="0.25">
      <c r="K39" s="165"/>
      <c r="L39" s="2" t="s">
        <v>2</v>
      </c>
      <c r="M39" s="7">
        <f t="shared" si="25"/>
        <v>777.67</v>
      </c>
      <c r="N39" s="160">
        <f t="shared" si="33"/>
        <v>0</v>
      </c>
      <c r="O39" s="160">
        <f t="shared" si="34"/>
        <v>0</v>
      </c>
      <c r="P39" s="160">
        <f t="shared" si="35"/>
        <v>0</v>
      </c>
      <c r="Q39" s="162">
        <f t="shared" si="27"/>
        <v>0</v>
      </c>
      <c r="R39" s="7">
        <f t="shared" si="28"/>
        <v>0</v>
      </c>
      <c r="S39" s="10">
        <f t="shared" si="29"/>
        <v>15.5534</v>
      </c>
      <c r="T39" s="10">
        <f t="shared" si="30"/>
        <v>-19.830584999999999</v>
      </c>
      <c r="U39" s="10">
        <f t="shared" si="31"/>
        <v>773.39281499999993</v>
      </c>
      <c r="V39" s="167">
        <f t="shared" si="32"/>
        <v>897.13566539999988</v>
      </c>
      <c r="X39" s="1">
        <f t="shared" si="36"/>
        <v>0</v>
      </c>
      <c r="Y39" s="1">
        <f t="shared" si="37"/>
        <v>0</v>
      </c>
    </row>
    <row r="40" spans="3:25" x14ac:dyDescent="0.25">
      <c r="K40" s="165"/>
      <c r="L40" s="2" t="s">
        <v>3</v>
      </c>
      <c r="M40" s="7">
        <f t="shared" si="25"/>
        <v>777.67</v>
      </c>
      <c r="N40" s="160">
        <f t="shared" si="33"/>
        <v>0</v>
      </c>
      <c r="O40" s="160">
        <f t="shared" si="34"/>
        <v>0</v>
      </c>
      <c r="P40" s="160">
        <f t="shared" si="35"/>
        <v>0</v>
      </c>
      <c r="Q40" s="162">
        <f t="shared" si="27"/>
        <v>0</v>
      </c>
      <c r="R40" s="7">
        <f t="shared" si="28"/>
        <v>0</v>
      </c>
      <c r="S40" s="10">
        <f t="shared" si="29"/>
        <v>15.5534</v>
      </c>
      <c r="T40" s="10">
        <f t="shared" si="30"/>
        <v>-19.830584999999999</v>
      </c>
      <c r="U40" s="10">
        <f t="shared" si="31"/>
        <v>773.39281499999993</v>
      </c>
      <c r="V40" s="167">
        <f t="shared" si="32"/>
        <v>897.13566539999988</v>
      </c>
      <c r="X40" s="1">
        <f t="shared" si="36"/>
        <v>0</v>
      </c>
      <c r="Y40" s="1">
        <f t="shared" si="37"/>
        <v>0</v>
      </c>
    </row>
    <row r="41" spans="3:25" x14ac:dyDescent="0.25">
      <c r="K41" s="165"/>
      <c r="L41" s="2" t="s">
        <v>4</v>
      </c>
      <c r="M41" s="7">
        <f t="shared" si="25"/>
        <v>777.67</v>
      </c>
      <c r="N41" s="160">
        <f t="shared" si="33"/>
        <v>0</v>
      </c>
      <c r="O41" s="160">
        <f t="shared" si="34"/>
        <v>0</v>
      </c>
      <c r="P41" s="160">
        <f t="shared" si="35"/>
        <v>0</v>
      </c>
      <c r="Q41" s="162">
        <f t="shared" si="27"/>
        <v>0</v>
      </c>
      <c r="R41" s="7">
        <f t="shared" si="28"/>
        <v>0</v>
      </c>
      <c r="S41" s="10">
        <f t="shared" si="29"/>
        <v>15.5534</v>
      </c>
      <c r="T41" s="10">
        <f t="shared" si="30"/>
        <v>-19.830584999999999</v>
      </c>
      <c r="U41" s="10">
        <f t="shared" si="31"/>
        <v>773.39281499999993</v>
      </c>
      <c r="V41" s="168">
        <f t="shared" si="32"/>
        <v>897.13566539999988</v>
      </c>
      <c r="X41" s="1">
        <f t="shared" si="36"/>
        <v>0</v>
      </c>
      <c r="Y41" s="1">
        <f t="shared" si="37"/>
        <v>0</v>
      </c>
    </row>
    <row r="42" spans="3:25" x14ac:dyDescent="0.25">
      <c r="K42" s="165"/>
      <c r="L42" s="2" t="s">
        <v>5</v>
      </c>
      <c r="M42" s="7">
        <f t="shared" si="25"/>
        <v>777.67</v>
      </c>
      <c r="N42" s="160">
        <f t="shared" si="33"/>
        <v>0</v>
      </c>
      <c r="O42" s="160">
        <f t="shared" si="34"/>
        <v>0</v>
      </c>
      <c r="P42" s="160">
        <f t="shared" si="35"/>
        <v>0</v>
      </c>
      <c r="Q42" s="162">
        <f t="shared" si="27"/>
        <v>0</v>
      </c>
      <c r="R42" s="7">
        <f t="shared" si="28"/>
        <v>0</v>
      </c>
      <c r="S42" s="10">
        <f t="shared" si="29"/>
        <v>15.5534</v>
      </c>
      <c r="T42" s="10">
        <f t="shared" si="30"/>
        <v>-19.830584999999999</v>
      </c>
      <c r="U42" s="10">
        <f t="shared" si="31"/>
        <v>773.39281499999993</v>
      </c>
      <c r="V42" s="167">
        <f t="shared" si="32"/>
        <v>897.13566539999988</v>
      </c>
      <c r="X42" s="1">
        <f t="shared" si="36"/>
        <v>0</v>
      </c>
      <c r="Y42" s="1">
        <f t="shared" si="37"/>
        <v>0</v>
      </c>
    </row>
    <row r="43" spans="3:25" x14ac:dyDescent="0.25">
      <c r="K43" s="165"/>
      <c r="L43" s="2" t="s">
        <v>6</v>
      </c>
      <c r="M43" s="7">
        <f t="shared" si="25"/>
        <v>777.67</v>
      </c>
      <c r="N43" s="160">
        <f t="shared" si="33"/>
        <v>0</v>
      </c>
      <c r="O43" s="160">
        <f t="shared" si="34"/>
        <v>0</v>
      </c>
      <c r="P43" s="160">
        <f t="shared" si="35"/>
        <v>0</v>
      </c>
      <c r="Q43" s="162">
        <f t="shared" si="27"/>
        <v>0</v>
      </c>
      <c r="R43" s="7">
        <f t="shared" si="28"/>
        <v>0</v>
      </c>
      <c r="S43" s="10">
        <f t="shared" si="29"/>
        <v>15.5534</v>
      </c>
      <c r="T43" s="10">
        <f t="shared" si="30"/>
        <v>-19.830584999999999</v>
      </c>
      <c r="U43" s="10">
        <f t="shared" si="31"/>
        <v>773.39281499999993</v>
      </c>
      <c r="V43" s="167">
        <f t="shared" si="32"/>
        <v>897.13566539999988</v>
      </c>
      <c r="X43" s="1">
        <f t="shared" si="36"/>
        <v>0</v>
      </c>
      <c r="Y43" s="1">
        <f t="shared" si="37"/>
        <v>0</v>
      </c>
    </row>
    <row r="44" spans="3:25" x14ac:dyDescent="0.25">
      <c r="K44" s="165"/>
      <c r="L44" s="2" t="s">
        <v>7</v>
      </c>
      <c r="M44" s="7">
        <f t="shared" si="25"/>
        <v>777.67</v>
      </c>
      <c r="N44" s="160">
        <f t="shared" si="33"/>
        <v>0</v>
      </c>
      <c r="O44" s="160">
        <f t="shared" si="34"/>
        <v>0</v>
      </c>
      <c r="P44" s="160">
        <f t="shared" si="35"/>
        <v>0</v>
      </c>
      <c r="Q44" s="162">
        <f t="shared" si="27"/>
        <v>0</v>
      </c>
      <c r="R44" s="7">
        <f t="shared" si="28"/>
        <v>0</v>
      </c>
      <c r="S44" s="10">
        <f t="shared" si="29"/>
        <v>15.5534</v>
      </c>
      <c r="T44" s="10">
        <f t="shared" si="30"/>
        <v>-19.830584999999999</v>
      </c>
      <c r="U44" s="10">
        <f t="shared" si="31"/>
        <v>773.39281499999993</v>
      </c>
      <c r="V44" s="167">
        <f t="shared" si="32"/>
        <v>897.13566539999988</v>
      </c>
      <c r="X44" s="1">
        <f t="shared" si="36"/>
        <v>0</v>
      </c>
      <c r="Y44" s="1">
        <f t="shared" si="37"/>
        <v>0</v>
      </c>
    </row>
    <row r="45" spans="3:25" x14ac:dyDescent="0.25">
      <c r="K45" s="165"/>
      <c r="L45" s="2" t="s">
        <v>8</v>
      </c>
      <c r="M45" s="7">
        <f t="shared" si="25"/>
        <v>777.67</v>
      </c>
      <c r="N45" s="160">
        <f t="shared" si="33"/>
        <v>0</v>
      </c>
      <c r="O45" s="160">
        <f t="shared" si="34"/>
        <v>0</v>
      </c>
      <c r="P45" s="160">
        <f t="shared" si="35"/>
        <v>0</v>
      </c>
      <c r="Q45" s="162">
        <f t="shared" si="27"/>
        <v>0</v>
      </c>
      <c r="R45" s="7">
        <f t="shared" si="28"/>
        <v>0</v>
      </c>
      <c r="S45" s="10">
        <f t="shared" si="29"/>
        <v>15.5534</v>
      </c>
      <c r="T45" s="10">
        <f t="shared" si="30"/>
        <v>-19.830584999999999</v>
      </c>
      <c r="U45" s="10">
        <f t="shared" si="31"/>
        <v>773.39281499999993</v>
      </c>
      <c r="V45" s="167">
        <f t="shared" si="32"/>
        <v>897.13566539999988</v>
      </c>
      <c r="X45" s="1">
        <f t="shared" si="36"/>
        <v>0</v>
      </c>
      <c r="Y45" s="1">
        <f t="shared" si="37"/>
        <v>0</v>
      </c>
    </row>
    <row r="46" spans="3:25" x14ac:dyDescent="0.25">
      <c r="K46" s="165"/>
      <c r="L46" s="2" t="s">
        <v>9</v>
      </c>
      <c r="M46" s="7">
        <f t="shared" si="25"/>
        <v>777.67</v>
      </c>
      <c r="N46" s="160">
        <f t="shared" si="33"/>
        <v>0</v>
      </c>
      <c r="O46" s="160">
        <f t="shared" si="34"/>
        <v>0</v>
      </c>
      <c r="P46" s="160">
        <f t="shared" si="35"/>
        <v>0</v>
      </c>
      <c r="Q46" s="162">
        <f t="shared" si="27"/>
        <v>0</v>
      </c>
      <c r="R46" s="7">
        <f t="shared" si="28"/>
        <v>0</v>
      </c>
      <c r="S46" s="10">
        <f t="shared" si="29"/>
        <v>15.5534</v>
      </c>
      <c r="T46" s="10">
        <f t="shared" si="30"/>
        <v>-19.830584999999999</v>
      </c>
      <c r="U46" s="10">
        <f t="shared" si="31"/>
        <v>773.39281499999993</v>
      </c>
      <c r="V46" s="167">
        <f t="shared" si="32"/>
        <v>897.13566539999988</v>
      </c>
      <c r="X46" s="1">
        <f t="shared" si="36"/>
        <v>0</v>
      </c>
      <c r="Y46" s="1">
        <f t="shared" si="37"/>
        <v>0</v>
      </c>
    </row>
    <row r="47" spans="3:25" x14ac:dyDescent="0.25">
      <c r="K47" s="165"/>
      <c r="L47" s="2" t="s">
        <v>10</v>
      </c>
      <c r="M47" s="7">
        <f t="shared" si="25"/>
        <v>777.67</v>
      </c>
      <c r="N47" s="160">
        <f t="shared" si="33"/>
        <v>0</v>
      </c>
      <c r="O47" s="160">
        <f t="shared" si="34"/>
        <v>0</v>
      </c>
      <c r="P47" s="160">
        <f t="shared" si="35"/>
        <v>0</v>
      </c>
      <c r="Q47" s="162">
        <f t="shared" si="27"/>
        <v>0</v>
      </c>
      <c r="R47" s="7">
        <f t="shared" si="28"/>
        <v>0</v>
      </c>
      <c r="S47" s="10">
        <f t="shared" si="29"/>
        <v>15.5534</v>
      </c>
      <c r="T47" s="10">
        <f t="shared" si="30"/>
        <v>-19.830584999999999</v>
      </c>
      <c r="U47" s="10">
        <f t="shared" si="31"/>
        <v>773.39281499999993</v>
      </c>
      <c r="V47" s="167">
        <f t="shared" si="32"/>
        <v>897.13566539999988</v>
      </c>
      <c r="X47" s="1">
        <f t="shared" si="36"/>
        <v>0</v>
      </c>
      <c r="Y47" s="1">
        <f t="shared" si="37"/>
        <v>0</v>
      </c>
    </row>
    <row r="48" spans="3:25" ht="15.75" thickBot="1" x14ac:dyDescent="0.3">
      <c r="K48" s="165"/>
      <c r="L48" s="2" t="s">
        <v>11</v>
      </c>
      <c r="M48" s="7">
        <f t="shared" si="25"/>
        <v>777.67</v>
      </c>
      <c r="N48" s="160">
        <f t="shared" si="33"/>
        <v>0</v>
      </c>
      <c r="O48" s="160">
        <f t="shared" si="34"/>
        <v>0</v>
      </c>
      <c r="P48" s="160">
        <f t="shared" si="35"/>
        <v>0</v>
      </c>
      <c r="Q48" s="162">
        <f t="shared" si="27"/>
        <v>0</v>
      </c>
      <c r="R48" s="7">
        <f t="shared" si="28"/>
        <v>0</v>
      </c>
      <c r="S48" s="10">
        <f t="shared" si="29"/>
        <v>15.5534</v>
      </c>
      <c r="T48" s="90">
        <f t="shared" si="30"/>
        <v>-19.830584999999999</v>
      </c>
      <c r="U48" s="10">
        <f t="shared" si="31"/>
        <v>773.39281499999993</v>
      </c>
      <c r="V48" s="167">
        <f t="shared" si="32"/>
        <v>897.13566539999988</v>
      </c>
      <c r="X48" s="1">
        <f t="shared" si="36"/>
        <v>0</v>
      </c>
      <c r="Y48" s="1">
        <f t="shared" si="37"/>
        <v>0</v>
      </c>
    </row>
    <row r="49" spans="9:25" ht="15.75" thickBot="1" x14ac:dyDescent="0.3">
      <c r="K49" s="165"/>
      <c r="T49" s="91">
        <f>SUM(T37:T48)</f>
        <v>-237.96701999999993</v>
      </c>
      <c r="U49" s="89">
        <f>SUM(U37:U48)</f>
        <v>9280.71378</v>
      </c>
      <c r="V49" s="169">
        <f t="shared" si="32"/>
        <v>10765.627984799999</v>
      </c>
      <c r="X49" s="1">
        <f t="shared" si="36"/>
        <v>0</v>
      </c>
      <c r="Y49" s="1">
        <f t="shared" si="37"/>
        <v>0</v>
      </c>
    </row>
    <row r="50" spans="9:25" x14ac:dyDescent="0.25">
      <c r="K50" s="165"/>
      <c r="V50" s="170">
        <f>V33-V49</f>
        <v>1352898.0102861908</v>
      </c>
    </row>
    <row r="51" spans="9:25" ht="15.75" thickBot="1" x14ac:dyDescent="0.3">
      <c r="K51" s="171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3"/>
    </row>
    <row r="52" spans="9:25" ht="15.75" thickBot="1" x14ac:dyDescent="0.3">
      <c r="V52" s="11">
        <f>V50/2</f>
        <v>676449.00514309539</v>
      </c>
    </row>
    <row r="53" spans="9:25" ht="21.75" thickBot="1" x14ac:dyDescent="0.4">
      <c r="I53" s="38"/>
      <c r="J53" s="39"/>
      <c r="K53" s="39"/>
      <c r="L53" s="39"/>
      <c r="M53" s="46" t="s">
        <v>90</v>
      </c>
      <c r="N53" s="39"/>
      <c r="O53" s="39"/>
      <c r="P53" s="39"/>
      <c r="Q53" s="40"/>
      <c r="V53">
        <v>676449.00514309539</v>
      </c>
    </row>
    <row r="54" spans="9:25" x14ac:dyDescent="0.25">
      <c r="I54" s="42"/>
      <c r="J54" s="50" t="s">
        <v>85</v>
      </c>
      <c r="K54" s="50"/>
      <c r="L54" s="50" t="s">
        <v>86</v>
      </c>
      <c r="M54" s="50" t="s">
        <v>87</v>
      </c>
      <c r="N54" s="50" t="s">
        <v>88</v>
      </c>
      <c r="O54" s="50" t="s">
        <v>89</v>
      </c>
      <c r="P54" s="51"/>
      <c r="Q54" s="52" t="s">
        <v>91</v>
      </c>
    </row>
    <row r="55" spans="9:25" x14ac:dyDescent="0.25">
      <c r="I55" s="47" t="s">
        <v>84</v>
      </c>
      <c r="J55" s="43">
        <f t="shared" ref="J55:J66" si="38">G4-S4</f>
        <v>-10244</v>
      </c>
      <c r="K55" s="43">
        <f>IF(J55&lt;0,J55,0)</f>
        <v>-10244</v>
      </c>
      <c r="L55" s="43">
        <f>K55*-1</f>
        <v>10244</v>
      </c>
      <c r="M55" s="43">
        <f>IF(J55&lt;=0,0,J55)</f>
        <v>0</v>
      </c>
      <c r="N55" s="43">
        <f>L67</f>
        <v>55861</v>
      </c>
      <c r="O55" s="43">
        <f t="shared" ref="O55:O67" si="39">IF(N55&gt;0,N55,0)</f>
        <v>55861</v>
      </c>
      <c r="P55">
        <f>IF(N56&gt;0,0,M55)</f>
        <v>0</v>
      </c>
      <c r="Q55" s="48">
        <f>IF(N55&gt;M55,0,M55-O55)</f>
        <v>0</v>
      </c>
    </row>
    <row r="56" spans="9:25" x14ac:dyDescent="0.25">
      <c r="I56" s="47" t="s">
        <v>54</v>
      </c>
      <c r="J56" s="43">
        <f t="shared" si="38"/>
        <v>-11684</v>
      </c>
      <c r="K56" s="43">
        <f t="shared" ref="K56:K66" si="40">IF(J56&lt;0,J56,0)</f>
        <v>-11684</v>
      </c>
      <c r="L56" s="43">
        <f t="shared" ref="L56:L66" si="41">K56*-1</f>
        <v>11684</v>
      </c>
      <c r="M56" s="43">
        <f t="shared" ref="M56:M66" si="42">IF(J56&lt;=0,0,J56)</f>
        <v>0</v>
      </c>
      <c r="N56" s="43">
        <f>L67-M55</f>
        <v>55861</v>
      </c>
      <c r="O56" s="43">
        <f t="shared" si="39"/>
        <v>55861</v>
      </c>
      <c r="P56">
        <f t="shared" ref="P56:P66" si="43">IF(N57&gt;0,0,M56)</f>
        <v>0</v>
      </c>
      <c r="Q56" s="48">
        <f t="shared" ref="Q56:Q66" si="44">IF(N56&gt;M56,0,M56-O56)</f>
        <v>0</v>
      </c>
    </row>
    <row r="57" spans="9:25" x14ac:dyDescent="0.25">
      <c r="I57" s="47" t="s">
        <v>55</v>
      </c>
      <c r="J57" s="43">
        <f t="shared" si="38"/>
        <v>-15839</v>
      </c>
      <c r="K57" s="43">
        <f t="shared" si="40"/>
        <v>-15839</v>
      </c>
      <c r="L57" s="43">
        <f t="shared" si="41"/>
        <v>15839</v>
      </c>
      <c r="M57" s="43">
        <f t="shared" si="42"/>
        <v>0</v>
      </c>
      <c r="N57" s="43">
        <f t="shared" ref="N57:N67" si="45">N56-M56</f>
        <v>55861</v>
      </c>
      <c r="O57" s="43">
        <f t="shared" si="39"/>
        <v>55861</v>
      </c>
      <c r="P57">
        <f t="shared" si="43"/>
        <v>0</v>
      </c>
      <c r="Q57" s="48">
        <f t="shared" si="44"/>
        <v>0</v>
      </c>
    </row>
    <row r="58" spans="9:25" x14ac:dyDescent="0.25">
      <c r="I58" s="47" t="s">
        <v>56</v>
      </c>
      <c r="J58" s="43">
        <f t="shared" si="38"/>
        <v>-11617</v>
      </c>
      <c r="K58" s="43">
        <f t="shared" si="40"/>
        <v>-11617</v>
      </c>
      <c r="L58" s="43">
        <f t="shared" si="41"/>
        <v>11617</v>
      </c>
      <c r="M58" s="43">
        <f t="shared" si="42"/>
        <v>0</v>
      </c>
      <c r="N58" s="43">
        <f t="shared" si="45"/>
        <v>55861</v>
      </c>
      <c r="O58" s="43">
        <f t="shared" si="39"/>
        <v>55861</v>
      </c>
      <c r="P58">
        <f t="shared" si="43"/>
        <v>0</v>
      </c>
      <c r="Q58" s="48">
        <f t="shared" si="44"/>
        <v>0</v>
      </c>
    </row>
    <row r="59" spans="9:25" x14ac:dyDescent="0.25">
      <c r="I59" s="47" t="s">
        <v>57</v>
      </c>
      <c r="J59" s="43">
        <f t="shared" si="38"/>
        <v>-3898</v>
      </c>
      <c r="K59" s="43">
        <f t="shared" si="40"/>
        <v>-3898</v>
      </c>
      <c r="L59" s="43">
        <f t="shared" si="41"/>
        <v>3898</v>
      </c>
      <c r="M59" s="43">
        <f t="shared" si="42"/>
        <v>0</v>
      </c>
      <c r="N59" s="43">
        <f t="shared" si="45"/>
        <v>55861</v>
      </c>
      <c r="O59" s="43">
        <f t="shared" si="39"/>
        <v>55861</v>
      </c>
      <c r="P59">
        <f t="shared" si="43"/>
        <v>0</v>
      </c>
      <c r="Q59" s="48">
        <f t="shared" si="44"/>
        <v>0</v>
      </c>
    </row>
    <row r="60" spans="9:25" x14ac:dyDescent="0.25">
      <c r="I60" s="47" t="s">
        <v>58</v>
      </c>
      <c r="J60" s="43">
        <f t="shared" si="38"/>
        <v>7210</v>
      </c>
      <c r="K60" s="43">
        <f t="shared" si="40"/>
        <v>0</v>
      </c>
      <c r="L60" s="43">
        <f t="shared" si="41"/>
        <v>0</v>
      </c>
      <c r="M60" s="43">
        <f t="shared" si="42"/>
        <v>7210</v>
      </c>
      <c r="N60" s="43">
        <f t="shared" si="45"/>
        <v>55861</v>
      </c>
      <c r="O60" s="43">
        <f t="shared" si="39"/>
        <v>55861</v>
      </c>
      <c r="P60">
        <f t="shared" si="43"/>
        <v>0</v>
      </c>
      <c r="Q60" s="48">
        <f t="shared" si="44"/>
        <v>0</v>
      </c>
    </row>
    <row r="61" spans="9:25" x14ac:dyDescent="0.25">
      <c r="I61" s="47" t="s">
        <v>59</v>
      </c>
      <c r="J61" s="43">
        <f t="shared" si="38"/>
        <v>11839</v>
      </c>
      <c r="K61" s="43">
        <f t="shared" si="40"/>
        <v>0</v>
      </c>
      <c r="L61" s="43">
        <f t="shared" si="41"/>
        <v>0</v>
      </c>
      <c r="M61" s="43">
        <f t="shared" si="42"/>
        <v>11839</v>
      </c>
      <c r="N61" s="43">
        <f t="shared" si="45"/>
        <v>48651</v>
      </c>
      <c r="O61" s="43">
        <f t="shared" si="39"/>
        <v>48651</v>
      </c>
      <c r="P61">
        <f t="shared" si="43"/>
        <v>0</v>
      </c>
      <c r="Q61" s="48">
        <f t="shared" si="44"/>
        <v>0</v>
      </c>
    </row>
    <row r="62" spans="9:25" x14ac:dyDescent="0.25">
      <c r="I62" s="47" t="s">
        <v>60</v>
      </c>
      <c r="J62" s="43">
        <f t="shared" si="38"/>
        <v>12881</v>
      </c>
      <c r="K62" s="43">
        <f t="shared" si="40"/>
        <v>0</v>
      </c>
      <c r="L62" s="43">
        <f t="shared" si="41"/>
        <v>0</v>
      </c>
      <c r="M62" s="43">
        <f t="shared" si="42"/>
        <v>12881</v>
      </c>
      <c r="N62" s="43">
        <f t="shared" si="45"/>
        <v>36812</v>
      </c>
      <c r="O62" s="43">
        <f t="shared" si="39"/>
        <v>36812</v>
      </c>
      <c r="P62">
        <f t="shared" si="43"/>
        <v>0</v>
      </c>
      <c r="Q62" s="48">
        <f t="shared" si="44"/>
        <v>0</v>
      </c>
    </row>
    <row r="63" spans="9:25" x14ac:dyDescent="0.25">
      <c r="I63" s="47" t="s">
        <v>61</v>
      </c>
      <c r="J63" s="43">
        <f t="shared" si="38"/>
        <v>13083</v>
      </c>
      <c r="K63" s="43">
        <f t="shared" si="40"/>
        <v>0</v>
      </c>
      <c r="L63" s="43">
        <f t="shared" si="41"/>
        <v>0</v>
      </c>
      <c r="M63" s="43">
        <f t="shared" si="42"/>
        <v>13083</v>
      </c>
      <c r="N63" s="43">
        <f t="shared" si="45"/>
        <v>23931</v>
      </c>
      <c r="O63" s="43">
        <f t="shared" si="39"/>
        <v>23931</v>
      </c>
      <c r="P63">
        <f t="shared" si="43"/>
        <v>0</v>
      </c>
      <c r="Q63" s="48">
        <f t="shared" si="44"/>
        <v>0</v>
      </c>
    </row>
    <row r="64" spans="9:25" x14ac:dyDescent="0.25">
      <c r="I64" s="47" t="s">
        <v>62</v>
      </c>
      <c r="J64" s="43">
        <f t="shared" si="38"/>
        <v>8252</v>
      </c>
      <c r="K64" s="43">
        <f t="shared" si="40"/>
        <v>0</v>
      </c>
      <c r="L64" s="43">
        <f t="shared" si="41"/>
        <v>0</v>
      </c>
      <c r="M64" s="43">
        <f t="shared" si="42"/>
        <v>8252</v>
      </c>
      <c r="N64" s="43">
        <f t="shared" si="45"/>
        <v>10848</v>
      </c>
      <c r="O64" s="43">
        <f t="shared" si="39"/>
        <v>10848</v>
      </c>
      <c r="P64">
        <f t="shared" si="43"/>
        <v>0</v>
      </c>
      <c r="Q64" s="48">
        <f t="shared" si="44"/>
        <v>0</v>
      </c>
    </row>
    <row r="65" spans="1:17" x14ac:dyDescent="0.25">
      <c r="I65" s="47" t="s">
        <v>63</v>
      </c>
      <c r="J65" s="43">
        <f t="shared" si="38"/>
        <v>-844</v>
      </c>
      <c r="K65" s="43">
        <f t="shared" si="40"/>
        <v>-844</v>
      </c>
      <c r="L65" s="43">
        <f t="shared" si="41"/>
        <v>844</v>
      </c>
      <c r="M65" s="43">
        <f t="shared" si="42"/>
        <v>0</v>
      </c>
      <c r="N65" s="43">
        <f t="shared" si="45"/>
        <v>2596</v>
      </c>
      <c r="O65" s="43">
        <f t="shared" si="39"/>
        <v>2596</v>
      </c>
      <c r="P65">
        <f t="shared" si="43"/>
        <v>0</v>
      </c>
      <c r="Q65" s="48">
        <f t="shared" si="44"/>
        <v>0</v>
      </c>
    </row>
    <row r="66" spans="1:17" ht="15.75" thickBot="1" x14ac:dyDescent="0.3">
      <c r="I66" s="47" t="s">
        <v>64</v>
      </c>
      <c r="J66" s="43">
        <f t="shared" si="38"/>
        <v>-1735</v>
      </c>
      <c r="K66" s="43">
        <f t="shared" si="40"/>
        <v>-1735</v>
      </c>
      <c r="L66" s="43">
        <f t="shared" si="41"/>
        <v>1735</v>
      </c>
      <c r="M66" s="43">
        <f t="shared" si="42"/>
        <v>0</v>
      </c>
      <c r="N66" s="43">
        <f t="shared" si="45"/>
        <v>2596</v>
      </c>
      <c r="O66" s="43">
        <f t="shared" si="39"/>
        <v>2596</v>
      </c>
      <c r="P66">
        <f t="shared" si="43"/>
        <v>0</v>
      </c>
      <c r="Q66" s="49">
        <f t="shared" si="44"/>
        <v>0</v>
      </c>
    </row>
    <row r="67" spans="1:17" ht="15.75" thickBot="1" x14ac:dyDescent="0.3">
      <c r="I67" s="44"/>
      <c r="J67" s="45"/>
      <c r="K67" s="45"/>
      <c r="L67" s="45">
        <f>SUM(L55:L66)</f>
        <v>55861</v>
      </c>
      <c r="M67" s="45"/>
      <c r="N67" s="45">
        <f t="shared" si="45"/>
        <v>2596</v>
      </c>
      <c r="O67" s="45">
        <f t="shared" si="39"/>
        <v>2596</v>
      </c>
      <c r="P67" s="45"/>
      <c r="Q67" s="41">
        <f>SUM(Q55:Q66)</f>
        <v>0</v>
      </c>
    </row>
    <row r="70" spans="1:17" x14ac:dyDescent="0.25">
      <c r="J70" s="50" t="s">
        <v>124</v>
      </c>
      <c r="K70" s="50" t="s">
        <v>125</v>
      </c>
      <c r="L70" s="50" t="s">
        <v>126</v>
      </c>
      <c r="M70" s="50" t="s">
        <v>127</v>
      </c>
      <c r="N70" s="50" t="s">
        <v>128</v>
      </c>
      <c r="O70" s="50"/>
      <c r="P70" s="51"/>
      <c r="Q70" s="51"/>
    </row>
    <row r="71" spans="1:17" x14ac:dyDescent="0.25">
      <c r="I71" s="50" t="s">
        <v>84</v>
      </c>
      <c r="J71">
        <f>S4</f>
        <v>32981</v>
      </c>
      <c r="K71" s="43">
        <f>E4</f>
        <v>16052</v>
      </c>
      <c r="L71" s="43">
        <f>K71-J71</f>
        <v>-16929</v>
      </c>
      <c r="M71" s="43">
        <f>IF(L71&lt;0,L71,0)</f>
        <v>-16929</v>
      </c>
      <c r="N71" s="43">
        <f>IF(L71&gt;0,L71,0)</f>
        <v>0</v>
      </c>
      <c r="O71" s="43"/>
    </row>
    <row r="72" spans="1:17" x14ac:dyDescent="0.25">
      <c r="H72">
        <f>SUM(J71:J82)</f>
        <v>425093</v>
      </c>
      <c r="I72" s="50" t="s">
        <v>54</v>
      </c>
      <c r="J72">
        <f t="shared" ref="J72:J82" si="46">S5</f>
        <v>33878</v>
      </c>
      <c r="K72" s="43">
        <f t="shared" ref="K72:K82" si="47">E5</f>
        <v>15668</v>
      </c>
      <c r="L72" s="43">
        <f t="shared" ref="L72:L82" si="48">K72-J72</f>
        <v>-18210</v>
      </c>
      <c r="M72" s="43">
        <f t="shared" ref="M72:M82" si="49">IF(L72&lt;0,L72,0)</f>
        <v>-18210</v>
      </c>
      <c r="N72" s="43">
        <f t="shared" ref="N72:N82" si="50">IF(L72&gt;0,L72,0)</f>
        <v>0</v>
      </c>
      <c r="O72" s="43"/>
    </row>
    <row r="73" spans="1:17" x14ac:dyDescent="0.25">
      <c r="I73" s="50" t="s">
        <v>55</v>
      </c>
      <c r="J73">
        <f t="shared" si="46"/>
        <v>41777</v>
      </c>
      <c r="K73" s="43">
        <f t="shared" si="47"/>
        <v>18311</v>
      </c>
      <c r="L73" s="43">
        <f t="shared" si="48"/>
        <v>-23466</v>
      </c>
      <c r="M73" s="43">
        <f t="shared" si="49"/>
        <v>-23466</v>
      </c>
      <c r="N73" s="43">
        <f t="shared" si="50"/>
        <v>0</v>
      </c>
      <c r="O73" s="43"/>
    </row>
    <row r="74" spans="1:17" x14ac:dyDescent="0.25">
      <c r="I74" s="50" t="s">
        <v>56</v>
      </c>
      <c r="J74">
        <f t="shared" si="46"/>
        <v>41187</v>
      </c>
      <c r="K74" s="43">
        <f t="shared" si="47"/>
        <v>20875</v>
      </c>
      <c r="L74" s="43">
        <f t="shared" si="48"/>
        <v>-20312</v>
      </c>
      <c r="M74" s="43">
        <f t="shared" si="49"/>
        <v>-20312</v>
      </c>
      <c r="N74" s="43">
        <f t="shared" si="50"/>
        <v>0</v>
      </c>
      <c r="O74" s="43"/>
    </row>
    <row r="75" spans="1:17" x14ac:dyDescent="0.25">
      <c r="I75" s="50" t="s">
        <v>57</v>
      </c>
      <c r="J75">
        <f t="shared" si="46"/>
        <v>41084</v>
      </c>
      <c r="K75" s="43">
        <f t="shared" si="47"/>
        <v>26252</v>
      </c>
      <c r="L75" s="43">
        <f t="shared" si="48"/>
        <v>-14832</v>
      </c>
      <c r="M75" s="43">
        <f t="shared" si="49"/>
        <v>-14832</v>
      </c>
      <c r="N75" s="43">
        <f t="shared" si="50"/>
        <v>0</v>
      </c>
      <c r="O75" s="43"/>
    </row>
    <row r="76" spans="1:17" x14ac:dyDescent="0.25">
      <c r="I76" s="50" t="s">
        <v>58</v>
      </c>
      <c r="J76">
        <f t="shared" si="46"/>
        <v>34487</v>
      </c>
      <c r="K76" s="43">
        <f t="shared" si="47"/>
        <v>29437</v>
      </c>
      <c r="L76" s="43">
        <f t="shared" si="48"/>
        <v>-5050</v>
      </c>
      <c r="M76" s="43">
        <f t="shared" si="49"/>
        <v>-5050</v>
      </c>
      <c r="N76" s="43">
        <f t="shared" si="50"/>
        <v>0</v>
      </c>
      <c r="O76" s="43"/>
    </row>
    <row r="77" spans="1:17" x14ac:dyDescent="0.25">
      <c r="I77" s="50" t="s">
        <v>59</v>
      </c>
      <c r="J77">
        <f t="shared" si="46"/>
        <v>32241</v>
      </c>
      <c r="K77" s="43">
        <f t="shared" si="47"/>
        <v>31120</v>
      </c>
      <c r="L77" s="43">
        <f t="shared" si="48"/>
        <v>-1121</v>
      </c>
      <c r="M77" s="43">
        <f t="shared" si="49"/>
        <v>-1121</v>
      </c>
      <c r="N77" s="43">
        <f t="shared" si="50"/>
        <v>0</v>
      </c>
      <c r="O77" s="43"/>
    </row>
    <row r="78" spans="1:17" x14ac:dyDescent="0.25">
      <c r="I78" s="50" t="s">
        <v>60</v>
      </c>
      <c r="J78">
        <f t="shared" si="46"/>
        <v>32663</v>
      </c>
      <c r="K78" s="43">
        <f t="shared" si="47"/>
        <v>32153</v>
      </c>
      <c r="L78" s="43">
        <f t="shared" si="48"/>
        <v>-510</v>
      </c>
      <c r="M78" s="43">
        <f t="shared" si="49"/>
        <v>-510</v>
      </c>
      <c r="N78" s="43">
        <f t="shared" si="50"/>
        <v>0</v>
      </c>
      <c r="O78" s="43"/>
    </row>
    <row r="79" spans="1:17" x14ac:dyDescent="0.25">
      <c r="A79">
        <f t="shared" ref="A79:A90" si="51">ACOS(H4/100)</f>
        <v>0.11141290122941783</v>
      </c>
      <c r="B79">
        <f>A79*(180/3.1416)</f>
        <v>6.3834740964143144</v>
      </c>
      <c r="I79" s="50" t="s">
        <v>61</v>
      </c>
      <c r="J79">
        <f t="shared" si="46"/>
        <v>30971</v>
      </c>
      <c r="K79" s="43">
        <f t="shared" si="47"/>
        <v>31101</v>
      </c>
      <c r="L79" s="43">
        <f t="shared" si="48"/>
        <v>130</v>
      </c>
      <c r="M79" s="43">
        <f t="shared" si="49"/>
        <v>0</v>
      </c>
      <c r="N79" s="43">
        <f t="shared" si="50"/>
        <v>130</v>
      </c>
      <c r="O79" s="43"/>
    </row>
    <row r="80" spans="1:17" x14ac:dyDescent="0.25">
      <c r="A80">
        <f t="shared" si="51"/>
        <v>0.11923437096925027</v>
      </c>
      <c r="B80">
        <f t="shared" ref="B80:B90" si="52">A80*(180/3.1416)</f>
        <v>6.8316102541587247</v>
      </c>
      <c r="I80" s="50" t="s">
        <v>62</v>
      </c>
      <c r="J80">
        <f t="shared" si="46"/>
        <v>36764</v>
      </c>
      <c r="K80" s="43">
        <f t="shared" si="47"/>
        <v>31781</v>
      </c>
      <c r="L80" s="43">
        <f t="shared" si="48"/>
        <v>-4983</v>
      </c>
      <c r="M80" s="43">
        <f t="shared" si="49"/>
        <v>-4983</v>
      </c>
      <c r="N80" s="43">
        <f t="shared" si="50"/>
        <v>0</v>
      </c>
      <c r="O80" s="43"/>
    </row>
    <row r="81" spans="1:16" x14ac:dyDescent="0.25">
      <c r="A81">
        <f t="shared" si="51"/>
        <v>0.15047488846506485</v>
      </c>
      <c r="B81">
        <f t="shared" si="52"/>
        <v>8.6215558708020357</v>
      </c>
      <c r="I81" s="50" t="s">
        <v>63</v>
      </c>
      <c r="J81">
        <f t="shared" si="46"/>
        <v>34684</v>
      </c>
      <c r="K81" s="43">
        <f t="shared" si="47"/>
        <v>23890</v>
      </c>
      <c r="L81" s="43">
        <f t="shared" si="48"/>
        <v>-10794</v>
      </c>
      <c r="M81" s="43">
        <f t="shared" si="49"/>
        <v>-10794</v>
      </c>
      <c r="N81" s="43">
        <f t="shared" si="50"/>
        <v>0</v>
      </c>
      <c r="O81" s="43"/>
    </row>
    <row r="82" spans="1:16" x14ac:dyDescent="0.25">
      <c r="A82">
        <f t="shared" si="51"/>
        <v>0.17342232109560451</v>
      </c>
      <c r="B82">
        <f t="shared" si="52"/>
        <v>9.9363438366465537</v>
      </c>
      <c r="I82" s="50" t="s">
        <v>64</v>
      </c>
      <c r="J82">
        <f t="shared" si="46"/>
        <v>32376</v>
      </c>
      <c r="K82" s="43">
        <f t="shared" si="47"/>
        <v>21632</v>
      </c>
      <c r="L82" s="43">
        <f t="shared" si="48"/>
        <v>-10744</v>
      </c>
      <c r="M82" s="43">
        <f t="shared" si="49"/>
        <v>-10744</v>
      </c>
      <c r="N82" s="43">
        <f t="shared" si="50"/>
        <v>0</v>
      </c>
    </row>
    <row r="83" spans="1:16" x14ac:dyDescent="0.25">
      <c r="A83">
        <f t="shared" si="51"/>
        <v>0.19729700053579013</v>
      </c>
      <c r="B83">
        <f t="shared" si="52"/>
        <v>11.304259007016242</v>
      </c>
    </row>
    <row r="84" spans="1:16" x14ac:dyDescent="0.25">
      <c r="A84">
        <f t="shared" si="51"/>
        <v>0.22090295495424006</v>
      </c>
      <c r="B84">
        <f t="shared" si="52"/>
        <v>12.656777403795267</v>
      </c>
    </row>
    <row r="85" spans="1:16" ht="30" x14ac:dyDescent="0.25">
      <c r="A85">
        <f t="shared" si="51"/>
        <v>0.23116561327398855</v>
      </c>
      <c r="B85">
        <f t="shared" si="52"/>
        <v>13.244783037088725</v>
      </c>
      <c r="I85" s="176" t="s">
        <v>134</v>
      </c>
      <c r="J85" s="51" t="s">
        <v>140</v>
      </c>
      <c r="K85" s="51" t="s">
        <v>129</v>
      </c>
      <c r="L85" s="51" t="s">
        <v>133</v>
      </c>
      <c r="M85" s="51" t="s">
        <v>130</v>
      </c>
      <c r="N85" s="175" t="s">
        <v>137</v>
      </c>
      <c r="O85" s="51" t="s">
        <v>131</v>
      </c>
      <c r="P85" s="51" t="s">
        <v>132</v>
      </c>
    </row>
    <row r="86" spans="1:16" x14ac:dyDescent="0.25">
      <c r="A86">
        <f t="shared" si="51"/>
        <v>0.21062708671299579</v>
      </c>
      <c r="B86">
        <f t="shared" si="52"/>
        <v>12.068014899522296</v>
      </c>
      <c r="I86" s="50" t="s">
        <v>84</v>
      </c>
      <c r="J86">
        <f>N71</f>
        <v>0</v>
      </c>
      <c r="K86">
        <f>M71*-1</f>
        <v>16929</v>
      </c>
      <c r="L86">
        <f>F4</f>
        <v>1263</v>
      </c>
      <c r="M86">
        <f>ROUNDDOWN((F22/G22)*K86,0)</f>
        <v>15258</v>
      </c>
      <c r="N86">
        <f>IF(O86&gt;=0,0,O86*-1)</f>
        <v>0</v>
      </c>
      <c r="O86">
        <f>P86-L86</f>
        <v>113155</v>
      </c>
      <c r="P86">
        <f>M98</f>
        <v>114418</v>
      </c>
    </row>
    <row r="87" spans="1:16" x14ac:dyDescent="0.25">
      <c r="A87">
        <f t="shared" si="51"/>
        <v>0.20870524193815165</v>
      </c>
      <c r="B87">
        <f t="shared" si="52"/>
        <v>11.957901562537337</v>
      </c>
      <c r="I87" s="50" t="s">
        <v>54</v>
      </c>
      <c r="J87">
        <f t="shared" ref="J87:J97" si="53">N72</f>
        <v>0</v>
      </c>
      <c r="K87">
        <f t="shared" ref="K87:K97" si="54">M72*-1</f>
        <v>18210</v>
      </c>
      <c r="L87">
        <f t="shared" ref="L87:L97" si="55">F5</f>
        <v>1233</v>
      </c>
      <c r="M87">
        <f t="shared" ref="M87:M97" si="56">ROUNDDOWN((F23/G23)*K87,0)</f>
        <v>16413</v>
      </c>
      <c r="N87">
        <f>IF(O87&gt;=0,0,O87*-1)</f>
        <v>0</v>
      </c>
      <c r="O87">
        <f>P87-L87</f>
        <v>111922</v>
      </c>
      <c r="P87">
        <f>IF(O86&gt;0,O86*1,0)</f>
        <v>113155</v>
      </c>
    </row>
    <row r="88" spans="1:16" x14ac:dyDescent="0.25">
      <c r="A88">
        <f t="shared" si="51"/>
        <v>0.20033484232311971</v>
      </c>
      <c r="B88">
        <f t="shared" si="52"/>
        <v>11.478314113242154</v>
      </c>
      <c r="I88" s="50" t="s">
        <v>55</v>
      </c>
      <c r="J88">
        <f t="shared" si="53"/>
        <v>0</v>
      </c>
      <c r="K88">
        <f t="shared" si="54"/>
        <v>23466</v>
      </c>
      <c r="L88">
        <f t="shared" si="55"/>
        <v>1441</v>
      </c>
      <c r="M88">
        <f t="shared" si="56"/>
        <v>21150</v>
      </c>
      <c r="N88">
        <f t="shared" ref="N88:N98" si="57">IF(O88&gt;=0,0,O88*-1)</f>
        <v>0</v>
      </c>
      <c r="O88">
        <f>P88-L88</f>
        <v>110481</v>
      </c>
      <c r="P88">
        <f t="shared" ref="P88:P97" si="58">IF(O87&gt;0,O87*1,0)</f>
        <v>111922</v>
      </c>
    </row>
    <row r="89" spans="1:16" x14ac:dyDescent="0.25">
      <c r="A89">
        <f t="shared" si="51"/>
        <v>0.16079695771890434</v>
      </c>
      <c r="B89">
        <f t="shared" si="52"/>
        <v>9.212965491915833</v>
      </c>
      <c r="I89" s="50" t="s">
        <v>56</v>
      </c>
      <c r="J89">
        <f t="shared" si="53"/>
        <v>0</v>
      </c>
      <c r="K89">
        <f t="shared" si="54"/>
        <v>20312</v>
      </c>
      <c r="L89">
        <f t="shared" si="55"/>
        <v>1643</v>
      </c>
      <c r="M89">
        <f t="shared" si="56"/>
        <v>18307</v>
      </c>
      <c r="N89">
        <f t="shared" si="57"/>
        <v>0</v>
      </c>
      <c r="O89">
        <f t="shared" ref="O89:O96" si="59">P89-L89</f>
        <v>108838</v>
      </c>
      <c r="P89">
        <f t="shared" si="58"/>
        <v>110481</v>
      </c>
    </row>
    <row r="90" spans="1:16" x14ac:dyDescent="0.25">
      <c r="A90">
        <f t="shared" si="51"/>
        <v>0.19212862973418976</v>
      </c>
      <c r="B90">
        <f t="shared" si="52"/>
        <v>11.008133865595289</v>
      </c>
      <c r="I90" s="50" t="s">
        <v>57</v>
      </c>
      <c r="J90">
        <f t="shared" si="53"/>
        <v>0</v>
      </c>
      <c r="K90">
        <f t="shared" si="54"/>
        <v>14832</v>
      </c>
      <c r="L90">
        <f t="shared" si="55"/>
        <v>2066</v>
      </c>
      <c r="M90">
        <f t="shared" si="56"/>
        <v>13368</v>
      </c>
      <c r="N90">
        <f t="shared" si="57"/>
        <v>0</v>
      </c>
      <c r="O90">
        <f t="shared" si="59"/>
        <v>106772</v>
      </c>
      <c r="P90">
        <f t="shared" si="58"/>
        <v>108838</v>
      </c>
    </row>
    <row r="91" spans="1:16" x14ac:dyDescent="0.25">
      <c r="I91" s="50" t="s">
        <v>58</v>
      </c>
      <c r="J91">
        <f t="shared" si="53"/>
        <v>0</v>
      </c>
      <c r="K91">
        <f t="shared" si="54"/>
        <v>5050</v>
      </c>
      <c r="L91">
        <f t="shared" si="55"/>
        <v>2316</v>
      </c>
      <c r="M91">
        <f t="shared" si="56"/>
        <v>4551</v>
      </c>
      <c r="N91">
        <f t="shared" si="57"/>
        <v>0</v>
      </c>
      <c r="O91">
        <f t="shared" si="59"/>
        <v>104456</v>
      </c>
      <c r="P91">
        <f t="shared" si="58"/>
        <v>106772</v>
      </c>
    </row>
    <row r="92" spans="1:16" x14ac:dyDescent="0.25">
      <c r="I92" s="50" t="s">
        <v>59</v>
      </c>
      <c r="J92">
        <f t="shared" si="53"/>
        <v>0</v>
      </c>
      <c r="K92">
        <f t="shared" si="54"/>
        <v>1121</v>
      </c>
      <c r="L92">
        <f t="shared" si="55"/>
        <v>2448</v>
      </c>
      <c r="M92">
        <f t="shared" si="56"/>
        <v>1010</v>
      </c>
      <c r="N92">
        <f t="shared" si="57"/>
        <v>0</v>
      </c>
      <c r="O92">
        <f t="shared" si="59"/>
        <v>102008</v>
      </c>
      <c r="P92">
        <f t="shared" si="58"/>
        <v>104456</v>
      </c>
    </row>
    <row r="93" spans="1:16" x14ac:dyDescent="0.25">
      <c r="I93" s="50" t="s">
        <v>60</v>
      </c>
      <c r="J93">
        <f t="shared" si="53"/>
        <v>0</v>
      </c>
      <c r="K93">
        <f t="shared" si="54"/>
        <v>510</v>
      </c>
      <c r="L93">
        <f t="shared" si="55"/>
        <v>2530</v>
      </c>
      <c r="M93">
        <f t="shared" si="56"/>
        <v>459</v>
      </c>
      <c r="N93">
        <f t="shared" si="57"/>
        <v>0</v>
      </c>
      <c r="O93">
        <f t="shared" si="59"/>
        <v>99478</v>
      </c>
      <c r="P93">
        <f t="shared" si="58"/>
        <v>102008</v>
      </c>
    </row>
    <row r="94" spans="1:16" x14ac:dyDescent="0.25">
      <c r="I94" s="50" t="s">
        <v>61</v>
      </c>
      <c r="J94">
        <f t="shared" si="53"/>
        <v>130</v>
      </c>
      <c r="K94">
        <f t="shared" si="54"/>
        <v>0</v>
      </c>
      <c r="L94">
        <f t="shared" si="55"/>
        <v>2447</v>
      </c>
      <c r="M94">
        <f t="shared" si="56"/>
        <v>0</v>
      </c>
      <c r="N94">
        <f t="shared" si="57"/>
        <v>0</v>
      </c>
      <c r="O94">
        <f t="shared" si="59"/>
        <v>97031</v>
      </c>
      <c r="P94">
        <f t="shared" si="58"/>
        <v>99478</v>
      </c>
    </row>
    <row r="95" spans="1:16" x14ac:dyDescent="0.25">
      <c r="I95" s="50" t="s">
        <v>62</v>
      </c>
      <c r="J95">
        <f t="shared" si="53"/>
        <v>0</v>
      </c>
      <c r="K95">
        <f t="shared" si="54"/>
        <v>4983</v>
      </c>
      <c r="L95">
        <f t="shared" si="55"/>
        <v>2500</v>
      </c>
      <c r="M95">
        <f t="shared" si="56"/>
        <v>4491</v>
      </c>
      <c r="N95">
        <f t="shared" si="57"/>
        <v>0</v>
      </c>
      <c r="O95">
        <f t="shared" si="59"/>
        <v>94531</v>
      </c>
      <c r="P95">
        <f t="shared" si="58"/>
        <v>97031</v>
      </c>
    </row>
    <row r="96" spans="1:16" x14ac:dyDescent="0.25">
      <c r="A96">
        <f t="shared" ref="A96:A107" si="60">SIN(A79)*$I$4</f>
        <v>2543.7456206625798</v>
      </c>
      <c r="I96" s="50" t="s">
        <v>63</v>
      </c>
      <c r="J96">
        <f t="shared" si="53"/>
        <v>0</v>
      </c>
      <c r="K96">
        <f t="shared" si="54"/>
        <v>10794</v>
      </c>
      <c r="L96">
        <f t="shared" si="55"/>
        <v>1880</v>
      </c>
      <c r="M96">
        <f t="shared" si="56"/>
        <v>9728</v>
      </c>
      <c r="N96">
        <f t="shared" si="57"/>
        <v>0</v>
      </c>
      <c r="O96">
        <f t="shared" si="59"/>
        <v>92651</v>
      </c>
      <c r="P96">
        <f t="shared" si="58"/>
        <v>94531</v>
      </c>
    </row>
    <row r="97" spans="1:16" x14ac:dyDescent="0.25">
      <c r="A97">
        <f t="shared" si="60"/>
        <v>2721.5039327928716</v>
      </c>
      <c r="I97" s="50" t="s">
        <v>64</v>
      </c>
      <c r="J97">
        <f t="shared" si="53"/>
        <v>0</v>
      </c>
      <c r="K97">
        <f t="shared" si="54"/>
        <v>10744</v>
      </c>
      <c r="L97">
        <f t="shared" si="55"/>
        <v>1702</v>
      </c>
      <c r="M97">
        <f t="shared" si="56"/>
        <v>9683</v>
      </c>
      <c r="N97">
        <f t="shared" si="57"/>
        <v>0</v>
      </c>
      <c r="O97">
        <f>P97-L97</f>
        <v>90949</v>
      </c>
      <c r="P97">
        <f t="shared" si="58"/>
        <v>92651</v>
      </c>
    </row>
    <row r="98" spans="1:16" x14ac:dyDescent="0.25">
      <c r="A98">
        <f t="shared" si="60"/>
        <v>3429.737618190446</v>
      </c>
      <c r="K98" s="174">
        <f>SUM(K86:K97)</f>
        <v>126951</v>
      </c>
      <c r="M98" s="174">
        <f>SUM(M86:M97)</f>
        <v>114418</v>
      </c>
      <c r="N98">
        <f t="shared" si="57"/>
        <v>0</v>
      </c>
    </row>
    <row r="99" spans="1:16" x14ac:dyDescent="0.25">
      <c r="A99">
        <f t="shared" si="60"/>
        <v>3947.8707280982494</v>
      </c>
    </row>
    <row r="100" spans="1:16" x14ac:dyDescent="0.25">
      <c r="A100">
        <f t="shared" si="60"/>
        <v>4484.7298848730206</v>
      </c>
    </row>
    <row r="101" spans="1:16" ht="45" x14ac:dyDescent="0.25">
      <c r="A101">
        <f t="shared" si="60"/>
        <v>5013.0342871933344</v>
      </c>
      <c r="I101" s="176" t="s">
        <v>135</v>
      </c>
      <c r="J101" s="51" t="s">
        <v>140</v>
      </c>
      <c r="K101" s="51" t="s">
        <v>136</v>
      </c>
      <c r="L101" s="175" t="s">
        <v>138</v>
      </c>
      <c r="M101" s="51" t="s">
        <v>131</v>
      </c>
      <c r="N101" s="51" t="s">
        <v>132</v>
      </c>
    </row>
    <row r="102" spans="1:16" x14ac:dyDescent="0.25">
      <c r="A102">
        <f t="shared" si="60"/>
        <v>5241.8600115582994</v>
      </c>
      <c r="I102" s="50" t="s">
        <v>84</v>
      </c>
      <c r="J102">
        <f>J86</f>
        <v>0</v>
      </c>
      <c r="K102" s="20">
        <f>J102</f>
        <v>0</v>
      </c>
      <c r="L102">
        <f>IF(M102&gt;=0,0,M102*-1)</f>
        <v>0</v>
      </c>
      <c r="M102">
        <f>N102-J102</f>
        <v>100905</v>
      </c>
      <c r="N102">
        <f>ROUNDUP(IF(O97&gt;0,(O97*(G22/F22)),0),0)</f>
        <v>100905</v>
      </c>
    </row>
    <row r="103" spans="1:16" x14ac:dyDescent="0.25">
      <c r="A103">
        <f t="shared" si="60"/>
        <v>4783.3850337861249</v>
      </c>
      <c r="I103" s="50" t="s">
        <v>54</v>
      </c>
      <c r="J103">
        <f t="shared" ref="J103:J113" si="61">J87</f>
        <v>0</v>
      </c>
      <c r="K103" s="20">
        <f t="shared" ref="K103:K113" si="62">J103</f>
        <v>0</v>
      </c>
      <c r="L103">
        <f t="shared" ref="L103:L113" si="63">IF(M103&gt;=0,0,M103*-1)</f>
        <v>0</v>
      </c>
      <c r="M103">
        <f t="shared" ref="M103:M113" si="64">N103-J103</f>
        <v>100905</v>
      </c>
      <c r="N103">
        <f>IF(M102&gt;0,M102*1,0)</f>
        <v>100905</v>
      </c>
    </row>
    <row r="104" spans="1:16" x14ac:dyDescent="0.25">
      <c r="A104">
        <f t="shared" si="60"/>
        <v>4740.3780744619471</v>
      </c>
      <c r="I104" s="50" t="s">
        <v>55</v>
      </c>
      <c r="J104">
        <f t="shared" si="61"/>
        <v>0</v>
      </c>
      <c r="K104" s="20">
        <f t="shared" si="62"/>
        <v>0</v>
      </c>
      <c r="L104">
        <f t="shared" si="63"/>
        <v>0</v>
      </c>
      <c r="M104">
        <f t="shared" si="64"/>
        <v>100905</v>
      </c>
      <c r="N104">
        <f t="shared" ref="N104:N113" si="65">IF(M103&gt;0,M103*1,0)</f>
        <v>100905</v>
      </c>
    </row>
    <row r="105" spans="1:16" x14ac:dyDescent="0.25">
      <c r="A105">
        <f t="shared" si="60"/>
        <v>4552.8635147124742</v>
      </c>
      <c r="I105" s="50" t="s">
        <v>56</v>
      </c>
      <c r="J105">
        <f t="shared" si="61"/>
        <v>0</v>
      </c>
      <c r="K105" s="20">
        <f t="shared" si="62"/>
        <v>0</v>
      </c>
      <c r="L105">
        <f t="shared" si="63"/>
        <v>0</v>
      </c>
      <c r="M105">
        <f t="shared" si="64"/>
        <v>100905</v>
      </c>
      <c r="N105">
        <f t="shared" si="65"/>
        <v>100905</v>
      </c>
    </row>
    <row r="106" spans="1:16" x14ac:dyDescent="0.25">
      <c r="A106">
        <f t="shared" si="60"/>
        <v>3663.0407927637407</v>
      </c>
      <c r="I106" s="50" t="s">
        <v>57</v>
      </c>
      <c r="J106">
        <f t="shared" si="61"/>
        <v>0</v>
      </c>
      <c r="K106" s="20">
        <f t="shared" si="62"/>
        <v>0</v>
      </c>
      <c r="L106">
        <f t="shared" si="63"/>
        <v>0</v>
      </c>
      <c r="M106">
        <f t="shared" si="64"/>
        <v>100905</v>
      </c>
      <c r="N106">
        <f t="shared" si="65"/>
        <v>100905</v>
      </c>
    </row>
    <row r="107" spans="1:16" x14ac:dyDescent="0.25">
      <c r="A107">
        <f t="shared" si="60"/>
        <v>4368.7173422988926</v>
      </c>
      <c r="I107" s="50" t="s">
        <v>58</v>
      </c>
      <c r="J107">
        <f t="shared" si="61"/>
        <v>0</v>
      </c>
      <c r="K107" s="20">
        <f t="shared" si="62"/>
        <v>0</v>
      </c>
      <c r="L107">
        <f t="shared" si="63"/>
        <v>0</v>
      </c>
      <c r="M107">
        <f t="shared" si="64"/>
        <v>100905</v>
      </c>
      <c r="N107">
        <f t="shared" si="65"/>
        <v>100905</v>
      </c>
    </row>
    <row r="108" spans="1:16" x14ac:dyDescent="0.25">
      <c r="I108" s="50" t="s">
        <v>59</v>
      </c>
      <c r="J108">
        <f t="shared" si="61"/>
        <v>0</v>
      </c>
      <c r="K108" s="20">
        <f t="shared" si="62"/>
        <v>0</v>
      </c>
      <c r="L108">
        <f t="shared" si="63"/>
        <v>0</v>
      </c>
      <c r="M108">
        <f t="shared" si="64"/>
        <v>100905</v>
      </c>
      <c r="N108">
        <f t="shared" si="65"/>
        <v>100905</v>
      </c>
    </row>
    <row r="109" spans="1:16" x14ac:dyDescent="0.25">
      <c r="I109" s="50" t="s">
        <v>60</v>
      </c>
      <c r="J109">
        <f t="shared" si="61"/>
        <v>0</v>
      </c>
      <c r="K109" s="20">
        <f t="shared" si="62"/>
        <v>0</v>
      </c>
      <c r="L109">
        <f t="shared" si="63"/>
        <v>0</v>
      </c>
      <c r="M109">
        <f t="shared" si="64"/>
        <v>100905</v>
      </c>
      <c r="N109">
        <f t="shared" si="65"/>
        <v>100905</v>
      </c>
    </row>
    <row r="110" spans="1:16" x14ac:dyDescent="0.25">
      <c r="I110" s="50" t="s">
        <v>61</v>
      </c>
      <c r="J110">
        <f t="shared" si="61"/>
        <v>130</v>
      </c>
      <c r="K110" s="20">
        <f t="shared" si="62"/>
        <v>130</v>
      </c>
      <c r="L110">
        <f t="shared" si="63"/>
        <v>0</v>
      </c>
      <c r="M110">
        <f t="shared" si="64"/>
        <v>100775</v>
      </c>
      <c r="N110">
        <f t="shared" si="65"/>
        <v>100905</v>
      </c>
    </row>
    <row r="111" spans="1:16" x14ac:dyDescent="0.25">
      <c r="I111" s="50" t="s">
        <v>62</v>
      </c>
      <c r="J111">
        <f t="shared" si="61"/>
        <v>0</v>
      </c>
      <c r="K111" s="20">
        <f t="shared" si="62"/>
        <v>0</v>
      </c>
      <c r="L111">
        <f t="shared" si="63"/>
        <v>0</v>
      </c>
      <c r="M111">
        <f t="shared" si="64"/>
        <v>100775</v>
      </c>
      <c r="N111">
        <f t="shared" si="65"/>
        <v>100775</v>
      </c>
    </row>
    <row r="112" spans="1:16" x14ac:dyDescent="0.25">
      <c r="I112" s="50" t="s">
        <v>63</v>
      </c>
      <c r="J112">
        <f t="shared" si="61"/>
        <v>0</v>
      </c>
      <c r="K112" s="20">
        <f t="shared" si="62"/>
        <v>0</v>
      </c>
      <c r="L112">
        <f t="shared" si="63"/>
        <v>0</v>
      </c>
      <c r="M112">
        <f t="shared" si="64"/>
        <v>100775</v>
      </c>
      <c r="N112">
        <f t="shared" si="65"/>
        <v>100775</v>
      </c>
    </row>
    <row r="113" spans="9:14" x14ac:dyDescent="0.25">
      <c r="I113" s="50" t="s">
        <v>64</v>
      </c>
      <c r="J113">
        <f t="shared" si="61"/>
        <v>0</v>
      </c>
      <c r="K113" s="20">
        <f t="shared" si="62"/>
        <v>0</v>
      </c>
      <c r="L113">
        <f t="shared" si="63"/>
        <v>0</v>
      </c>
      <c r="M113">
        <f t="shared" si="64"/>
        <v>100775</v>
      </c>
      <c r="N113">
        <f t="shared" si="65"/>
        <v>100775</v>
      </c>
    </row>
    <row r="114" spans="9:14" x14ac:dyDescent="0.25">
      <c r="K114" s="174">
        <f>SUM(K102:K113)</f>
        <v>130</v>
      </c>
      <c r="L114" s="174">
        <f>SUM(L102:L113)</f>
        <v>0</v>
      </c>
    </row>
    <row r="117" spans="9:14" ht="30" x14ac:dyDescent="0.25">
      <c r="I117" s="176" t="s">
        <v>139</v>
      </c>
      <c r="J117" s="51" t="s">
        <v>141</v>
      </c>
      <c r="K117" s="51" t="s">
        <v>142</v>
      </c>
      <c r="L117" s="175" t="s">
        <v>143</v>
      </c>
      <c r="M117" s="51" t="s">
        <v>131</v>
      </c>
      <c r="N117" s="51" t="s">
        <v>132</v>
      </c>
    </row>
    <row r="118" spans="9:14" x14ac:dyDescent="0.25">
      <c r="I118" s="50" t="s">
        <v>84</v>
      </c>
      <c r="J118">
        <f>D4</f>
        <v>5422</v>
      </c>
      <c r="K118" s="20">
        <f>ROUNDUP(J118*(E22/F22),0)</f>
        <v>3364</v>
      </c>
      <c r="L118">
        <f>IF(M118&gt;=0,0,M118*-1)</f>
        <v>0</v>
      </c>
      <c r="M118">
        <f>N118-J118</f>
        <v>157015</v>
      </c>
      <c r="N118">
        <f>ROUNDUP(IF(N113&gt;0,(N113*(F22/E22)),0),0)</f>
        <v>162437</v>
      </c>
    </row>
    <row r="119" spans="9:14" x14ac:dyDescent="0.25">
      <c r="I119" s="50" t="s">
        <v>54</v>
      </c>
      <c r="J119">
        <f t="shared" ref="J119:J129" si="66">D5</f>
        <v>5293</v>
      </c>
      <c r="K119" s="20">
        <f t="shared" ref="K119:K129" si="67">ROUNDUP(J119*(E23/F23),0)</f>
        <v>3284</v>
      </c>
      <c r="L119">
        <f t="shared" ref="L119:L129" si="68">IF(M119&gt;=0,0,M119*-1)</f>
        <v>0</v>
      </c>
      <c r="M119">
        <f t="shared" ref="M119:M129" si="69">N119-J119</f>
        <v>151722</v>
      </c>
      <c r="N119">
        <f>IF(M118&gt;0,M118*1,0)</f>
        <v>157015</v>
      </c>
    </row>
    <row r="120" spans="9:14" x14ac:dyDescent="0.25">
      <c r="I120" s="50" t="s">
        <v>55</v>
      </c>
      <c r="J120">
        <f t="shared" si="66"/>
        <v>6186</v>
      </c>
      <c r="K120" s="20">
        <f t="shared" si="67"/>
        <v>3838</v>
      </c>
      <c r="L120">
        <f t="shared" si="68"/>
        <v>0</v>
      </c>
      <c r="M120">
        <f t="shared" si="69"/>
        <v>145536</v>
      </c>
      <c r="N120">
        <f t="shared" ref="N120:N129" si="70">IF(M119&gt;0,M119*1,0)</f>
        <v>151722</v>
      </c>
    </row>
    <row r="121" spans="9:14" x14ac:dyDescent="0.25">
      <c r="I121" s="50" t="s">
        <v>56</v>
      </c>
      <c r="J121">
        <f t="shared" si="66"/>
        <v>7052</v>
      </c>
      <c r="K121" s="20">
        <f t="shared" si="67"/>
        <v>4376</v>
      </c>
      <c r="L121">
        <f t="shared" si="68"/>
        <v>0</v>
      </c>
      <c r="M121">
        <f t="shared" si="69"/>
        <v>138484</v>
      </c>
      <c r="N121">
        <f t="shared" si="70"/>
        <v>145536</v>
      </c>
    </row>
    <row r="122" spans="9:14" x14ac:dyDescent="0.25">
      <c r="I122" s="50" t="s">
        <v>57</v>
      </c>
      <c r="J122">
        <f t="shared" si="66"/>
        <v>8868</v>
      </c>
      <c r="K122" s="20">
        <f t="shared" si="67"/>
        <v>5502</v>
      </c>
      <c r="L122">
        <f t="shared" si="68"/>
        <v>0</v>
      </c>
      <c r="M122">
        <f t="shared" si="69"/>
        <v>129616</v>
      </c>
      <c r="N122">
        <f t="shared" si="70"/>
        <v>138484</v>
      </c>
    </row>
    <row r="123" spans="9:14" x14ac:dyDescent="0.25">
      <c r="I123" s="50" t="s">
        <v>58</v>
      </c>
      <c r="J123">
        <f t="shared" si="66"/>
        <v>9944</v>
      </c>
      <c r="K123" s="20">
        <f t="shared" si="67"/>
        <v>6170</v>
      </c>
      <c r="L123">
        <f t="shared" si="68"/>
        <v>0</v>
      </c>
      <c r="M123">
        <f t="shared" si="69"/>
        <v>119672</v>
      </c>
      <c r="N123">
        <f t="shared" si="70"/>
        <v>129616</v>
      </c>
    </row>
    <row r="124" spans="9:14" x14ac:dyDescent="0.25">
      <c r="I124" s="50" t="s">
        <v>59</v>
      </c>
      <c r="J124">
        <f t="shared" si="66"/>
        <v>10512</v>
      </c>
      <c r="K124" s="20">
        <f t="shared" si="67"/>
        <v>6522</v>
      </c>
      <c r="L124">
        <f t="shared" si="68"/>
        <v>0</v>
      </c>
      <c r="M124">
        <f t="shared" si="69"/>
        <v>109160</v>
      </c>
      <c r="N124">
        <f t="shared" si="70"/>
        <v>119672</v>
      </c>
    </row>
    <row r="125" spans="9:14" x14ac:dyDescent="0.25">
      <c r="I125" s="50" t="s">
        <v>60</v>
      </c>
      <c r="J125">
        <f t="shared" si="66"/>
        <v>10861</v>
      </c>
      <c r="K125" s="20">
        <f t="shared" si="67"/>
        <v>6739</v>
      </c>
      <c r="L125">
        <f t="shared" si="68"/>
        <v>0</v>
      </c>
      <c r="M125">
        <f t="shared" si="69"/>
        <v>98299</v>
      </c>
      <c r="N125">
        <f t="shared" si="70"/>
        <v>109160</v>
      </c>
    </row>
    <row r="126" spans="9:14" x14ac:dyDescent="0.25">
      <c r="I126" s="50" t="s">
        <v>61</v>
      </c>
      <c r="J126">
        <f t="shared" si="66"/>
        <v>10506</v>
      </c>
      <c r="K126" s="20">
        <f t="shared" si="67"/>
        <v>6518</v>
      </c>
      <c r="L126">
        <f t="shared" si="68"/>
        <v>0</v>
      </c>
      <c r="M126">
        <f t="shared" si="69"/>
        <v>87793</v>
      </c>
      <c r="N126">
        <f t="shared" si="70"/>
        <v>98299</v>
      </c>
    </row>
    <row r="127" spans="9:14" x14ac:dyDescent="0.25">
      <c r="I127" s="50" t="s">
        <v>62</v>
      </c>
      <c r="J127">
        <f t="shared" si="66"/>
        <v>10735</v>
      </c>
      <c r="K127" s="20">
        <f t="shared" si="67"/>
        <v>6660</v>
      </c>
      <c r="L127">
        <f t="shared" si="68"/>
        <v>0</v>
      </c>
      <c r="M127">
        <f t="shared" si="69"/>
        <v>77058</v>
      </c>
      <c r="N127">
        <f t="shared" si="70"/>
        <v>87793</v>
      </c>
    </row>
    <row r="128" spans="9:14" x14ac:dyDescent="0.25">
      <c r="I128" s="50" t="s">
        <v>63</v>
      </c>
      <c r="J128">
        <f t="shared" si="66"/>
        <v>8070</v>
      </c>
      <c r="K128" s="20">
        <f t="shared" si="67"/>
        <v>5007</v>
      </c>
      <c r="L128">
        <f t="shared" si="68"/>
        <v>0</v>
      </c>
      <c r="M128">
        <f t="shared" si="69"/>
        <v>68988</v>
      </c>
      <c r="N128">
        <f t="shared" si="70"/>
        <v>77058</v>
      </c>
    </row>
    <row r="129" spans="9:14" x14ac:dyDescent="0.25">
      <c r="I129" s="50" t="s">
        <v>64</v>
      </c>
      <c r="J129">
        <f t="shared" si="66"/>
        <v>7307</v>
      </c>
      <c r="K129" s="20">
        <f t="shared" si="67"/>
        <v>4534</v>
      </c>
      <c r="L129">
        <f t="shared" si="68"/>
        <v>0</v>
      </c>
      <c r="M129">
        <f t="shared" si="69"/>
        <v>61681</v>
      </c>
      <c r="N129">
        <f t="shared" si="70"/>
        <v>68988</v>
      </c>
    </row>
    <row r="130" spans="9:14" x14ac:dyDescent="0.25">
      <c r="K130" s="174">
        <f>SUM(K118:K129)</f>
        <v>62514</v>
      </c>
      <c r="L130" s="174">
        <f>SUM(L118:L129)</f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D938-2B0F-466B-B750-4869EA2B5F74}">
  <dimension ref="F5:K19"/>
  <sheetViews>
    <sheetView tabSelected="1" topLeftCell="E1" workbookViewId="0">
      <selection activeCell="O5" sqref="O5"/>
    </sheetView>
  </sheetViews>
  <sheetFormatPr baseColWidth="10" defaultRowHeight="15" x14ac:dyDescent="0.25"/>
  <cols>
    <col min="7" max="7" width="15.28515625" customWidth="1"/>
    <col min="8" max="8" width="18.5703125" customWidth="1"/>
    <col min="9" max="9" width="17.28515625" style="12" customWidth="1"/>
    <col min="11" max="11" width="14.85546875" customWidth="1"/>
  </cols>
  <sheetData>
    <row r="5" spans="6:11" ht="45" x14ac:dyDescent="0.25">
      <c r="F5" s="13" t="s">
        <v>47</v>
      </c>
      <c r="G5" s="14" t="s">
        <v>48</v>
      </c>
      <c r="H5" s="14" t="s">
        <v>49</v>
      </c>
      <c r="I5" s="14" t="s">
        <v>50</v>
      </c>
      <c r="J5" s="14" t="s">
        <v>51</v>
      </c>
      <c r="K5" s="14" t="s">
        <v>52</v>
      </c>
    </row>
    <row r="6" spans="6:11" x14ac:dyDescent="0.25">
      <c r="F6" t="s">
        <v>53</v>
      </c>
      <c r="G6">
        <f>'CON FACTOR DE POTENCIA '!G4</f>
        <v>22737</v>
      </c>
      <c r="H6">
        <f>'CON FACTOR DE POTENCIA '!S4</f>
        <v>32981</v>
      </c>
      <c r="I6" s="11">
        <f>'CON FACTOR DE POTENCIA '!V21</f>
        <v>73482.446354763553</v>
      </c>
      <c r="J6" s="15">
        <f>'CON FACTOR DE POTENCIA '!V37</f>
        <v>897.13566539999988</v>
      </c>
      <c r="K6" s="11">
        <f>I6-J6</f>
        <v>72585.310689363556</v>
      </c>
    </row>
    <row r="7" spans="6:11" x14ac:dyDescent="0.25">
      <c r="F7" s="20" t="s">
        <v>54</v>
      </c>
      <c r="G7" s="20">
        <f>'CON FACTOR DE POTENCIA '!G5</f>
        <v>22194</v>
      </c>
      <c r="H7" s="20">
        <f>'CON FACTOR DE POTENCIA '!S5</f>
        <v>33878</v>
      </c>
      <c r="I7" s="21">
        <f>'CON FACTOR DE POTENCIA '!V22</f>
        <v>74972.425862949778</v>
      </c>
      <c r="J7" s="22">
        <f>'CON FACTOR DE POTENCIA '!V38</f>
        <v>897.13566539999988</v>
      </c>
      <c r="K7" s="21">
        <f t="shared" ref="K7:K17" si="0">I7-J7</f>
        <v>74075.290197549781</v>
      </c>
    </row>
    <row r="8" spans="6:11" x14ac:dyDescent="0.25">
      <c r="F8" t="s">
        <v>55</v>
      </c>
      <c r="G8">
        <f>'CON FACTOR DE POTENCIA '!G6</f>
        <v>25938</v>
      </c>
      <c r="H8">
        <f>'CON FACTOR DE POTENCIA '!S6</f>
        <v>41777</v>
      </c>
      <c r="I8" s="11">
        <f>'CON FACTOR DE POTENCIA '!V23</f>
        <v>84036.426263724599</v>
      </c>
      <c r="J8" s="15">
        <f>'CON FACTOR DE POTENCIA '!V39</f>
        <v>897.13566539999988</v>
      </c>
      <c r="K8" s="11">
        <f t="shared" si="0"/>
        <v>83139.290598324602</v>
      </c>
    </row>
    <row r="9" spans="6:11" x14ac:dyDescent="0.25">
      <c r="F9" s="20" t="s">
        <v>56</v>
      </c>
      <c r="G9" s="20">
        <f>'CON FACTOR DE POTENCIA '!G7</f>
        <v>29570</v>
      </c>
      <c r="H9" s="20">
        <f>'CON FACTOR DE POTENCIA '!S7</f>
        <v>41187</v>
      </c>
      <c r="I9" s="21">
        <f>'CON FACTOR DE POTENCIA '!V24</f>
        <v>97175.145149572782</v>
      </c>
      <c r="J9" s="22">
        <f>'CON FACTOR DE POTENCIA '!V40</f>
        <v>897.13566539999988</v>
      </c>
      <c r="K9" s="21">
        <f t="shared" si="0"/>
        <v>96278.009484172784</v>
      </c>
    </row>
    <row r="10" spans="6:11" x14ac:dyDescent="0.25">
      <c r="F10" t="s">
        <v>57</v>
      </c>
      <c r="G10">
        <f>'CON FACTOR DE POTENCIA '!G8</f>
        <v>37186</v>
      </c>
      <c r="H10">
        <f>'CON FACTOR DE POTENCIA '!S8</f>
        <v>41084</v>
      </c>
      <c r="I10" s="11">
        <f>'CON FACTOR DE POTENCIA '!V25</f>
        <v>119783.37580798341</v>
      </c>
      <c r="J10" s="15">
        <f>'CON FACTOR DE POTENCIA '!V41</f>
        <v>897.13566539999988</v>
      </c>
      <c r="K10" s="11">
        <f t="shared" si="0"/>
        <v>118886.24014258341</v>
      </c>
    </row>
    <row r="11" spans="6:11" x14ac:dyDescent="0.25">
      <c r="F11" s="20" t="s">
        <v>58</v>
      </c>
      <c r="G11" s="20">
        <f>'CON FACTOR DE POTENCIA '!G9</f>
        <v>41697</v>
      </c>
      <c r="H11" s="20">
        <f>'CON FACTOR DE POTENCIA '!S9</f>
        <v>34487</v>
      </c>
      <c r="I11" s="21">
        <f>'CON FACTOR DE POTENCIA '!V26</f>
        <v>136394.30956882206</v>
      </c>
      <c r="J11" s="22">
        <f>'CON FACTOR DE POTENCIA '!V42</f>
        <v>897.13566539999988</v>
      </c>
      <c r="K11" s="21">
        <f t="shared" si="0"/>
        <v>135497.17390342205</v>
      </c>
    </row>
    <row r="12" spans="6:11" x14ac:dyDescent="0.25">
      <c r="F12" t="s">
        <v>59</v>
      </c>
      <c r="G12">
        <f>'CON FACTOR DE POTENCIA '!G10</f>
        <v>44080</v>
      </c>
      <c r="H12">
        <f>'CON FACTOR DE POTENCIA '!S10</f>
        <v>32241</v>
      </c>
      <c r="I12" s="11">
        <f>'CON FACTOR DE POTENCIA '!V27</f>
        <v>132053.50288136688</v>
      </c>
      <c r="J12" s="15">
        <f>'CON FACTOR DE POTENCIA '!V43</f>
        <v>897.13566539999988</v>
      </c>
      <c r="K12" s="11">
        <f t="shared" si="0"/>
        <v>131156.36721596686</v>
      </c>
    </row>
    <row r="13" spans="6:11" x14ac:dyDescent="0.25">
      <c r="F13" s="20" t="s">
        <v>60</v>
      </c>
      <c r="G13" s="20">
        <f>'CON FACTOR DE POTENCIA '!G11</f>
        <v>45544</v>
      </c>
      <c r="H13" s="20">
        <f>'CON FACTOR DE POTENCIA '!S11</f>
        <v>32663</v>
      </c>
      <c r="I13" s="21">
        <f>'CON FACTOR DE POTENCIA '!V28</f>
        <v>146727.89543196958</v>
      </c>
      <c r="J13" s="22">
        <f>'CON FACTOR DE POTENCIA '!V44</f>
        <v>897.13566539999988</v>
      </c>
      <c r="K13" s="21">
        <f t="shared" si="0"/>
        <v>145830.75976656956</v>
      </c>
    </row>
    <row r="14" spans="6:11" x14ac:dyDescent="0.25">
      <c r="F14" t="s">
        <v>61</v>
      </c>
      <c r="G14">
        <f>'CON FACTOR DE POTENCIA '!G12</f>
        <v>44054</v>
      </c>
      <c r="H14">
        <f>'CON FACTOR DE POTENCIA '!S12</f>
        <v>30971</v>
      </c>
      <c r="I14" s="11">
        <f>'CON FACTOR DE POTENCIA '!V29</f>
        <v>144093.10602249979</v>
      </c>
      <c r="J14" s="15">
        <f>'CON FACTOR DE POTENCIA '!V45</f>
        <v>897.13566539999988</v>
      </c>
      <c r="K14" s="11">
        <f t="shared" si="0"/>
        <v>143195.97035709978</v>
      </c>
    </row>
    <row r="15" spans="6:11" x14ac:dyDescent="0.25">
      <c r="F15" s="20" t="s">
        <v>62</v>
      </c>
      <c r="G15" s="20">
        <f>'CON FACTOR DE POTENCIA '!G13</f>
        <v>45016</v>
      </c>
      <c r="H15" s="20">
        <f>'CON FACTOR DE POTENCIA '!S13</f>
        <v>36764</v>
      </c>
      <c r="I15" s="21">
        <f>'CON FACTOR DE POTENCIA '!V30</f>
        <v>145116.60266306266</v>
      </c>
      <c r="J15" s="22">
        <f>'CON FACTOR DE POTENCIA '!V46</f>
        <v>897.13566539999988</v>
      </c>
      <c r="K15" s="21">
        <f t="shared" si="0"/>
        <v>144219.46699766265</v>
      </c>
    </row>
    <row r="16" spans="6:11" x14ac:dyDescent="0.25">
      <c r="F16" t="s">
        <v>63</v>
      </c>
      <c r="G16">
        <f>'CON FACTOR DE POTENCIA '!G14</f>
        <v>33840</v>
      </c>
      <c r="H16">
        <f>'CON FACTOR DE POTENCIA '!S14</f>
        <v>34684</v>
      </c>
      <c r="I16" s="11">
        <f>'CON FACTOR DE POTENCIA '!V31</f>
        <v>110692.05638388745</v>
      </c>
      <c r="J16" s="15">
        <f>'CON FACTOR DE POTENCIA '!V47</f>
        <v>897.13566539999988</v>
      </c>
      <c r="K16" s="11">
        <f t="shared" si="0"/>
        <v>109794.92071848745</v>
      </c>
    </row>
    <row r="17" spans="6:11" x14ac:dyDescent="0.25">
      <c r="F17" s="20" t="s">
        <v>64</v>
      </c>
      <c r="G17" s="20">
        <f>'CON FACTOR DE POTENCIA '!G15</f>
        <v>30641</v>
      </c>
      <c r="H17" s="20">
        <f>'CON FACTOR DE POTENCIA '!S15</f>
        <v>32376</v>
      </c>
      <c r="I17" s="21">
        <f>'CON FACTOR DE POTENCIA '!V32</f>
        <v>99136.345880388079</v>
      </c>
      <c r="J17" s="22">
        <f>'CON FACTOR DE POTENCIA '!V48</f>
        <v>897.13566539999988</v>
      </c>
      <c r="K17" s="21">
        <f t="shared" si="0"/>
        <v>98239.210214988081</v>
      </c>
    </row>
    <row r="18" spans="6:11" x14ac:dyDescent="0.25">
      <c r="F18" s="57" t="s">
        <v>65</v>
      </c>
      <c r="G18" s="24"/>
      <c r="H18" s="16"/>
      <c r="I18" s="23"/>
      <c r="J18" s="58"/>
      <c r="K18" s="59">
        <f>SUM(K6:K17)</f>
        <v>1352898.0102861905</v>
      </c>
    </row>
    <row r="19" spans="6:11" x14ac:dyDescent="0.25">
      <c r="F19" s="57" t="s">
        <v>95</v>
      </c>
      <c r="G19" s="56"/>
      <c r="J19" s="60">
        <f>'COTIZACIÓN '!E11/'tabla general'!K18</f>
        <v>2.8969656028771276</v>
      </c>
      <c r="K19" s="60" t="s">
        <v>96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62EB-563C-4014-A0B1-8664979D1A16}">
  <dimension ref="C5:J21"/>
  <sheetViews>
    <sheetView topLeftCell="B1" zoomScale="98" workbookViewId="0">
      <selection activeCell="C17" sqref="C17"/>
    </sheetView>
  </sheetViews>
  <sheetFormatPr baseColWidth="10" defaultRowHeight="15" x14ac:dyDescent="0.25"/>
  <cols>
    <col min="3" max="3" width="47.42578125" customWidth="1"/>
    <col min="4" max="4" width="13.7109375" customWidth="1"/>
    <col min="5" max="5" width="14.7109375" customWidth="1"/>
    <col min="6" max="6" width="18.5703125" customWidth="1"/>
    <col min="7" max="7" width="15.42578125" customWidth="1"/>
    <col min="8" max="8" width="18.7109375" customWidth="1"/>
    <col min="9" max="9" width="17.85546875" customWidth="1"/>
    <col min="10" max="10" width="15.5703125" customWidth="1"/>
  </cols>
  <sheetData>
    <row r="5" spans="3:10" ht="15.75" thickBot="1" x14ac:dyDescent="0.3">
      <c r="C5" s="33" t="s">
        <v>70</v>
      </c>
      <c r="D5" s="34" t="s">
        <v>76</v>
      </c>
      <c r="E5" s="34"/>
      <c r="F5" s="35"/>
      <c r="H5" s="54" t="s">
        <v>97</v>
      </c>
      <c r="J5" s="54" t="s">
        <v>77</v>
      </c>
    </row>
    <row r="6" spans="3:10" x14ac:dyDescent="0.25">
      <c r="C6" s="31" t="s">
        <v>71</v>
      </c>
      <c r="D6" s="19"/>
      <c r="E6" s="19">
        <f>'CON FACTOR DE POTENCIA '!AG5*1000</f>
        <v>249240</v>
      </c>
      <c r="F6" s="32" t="s">
        <v>78</v>
      </c>
      <c r="H6" s="10">
        <f>E11</f>
        <v>3919299.0000000005</v>
      </c>
      <c r="J6" s="1">
        <v>18.5</v>
      </c>
    </row>
    <row r="7" spans="3:10" x14ac:dyDescent="0.25">
      <c r="C7" s="27" t="s">
        <v>75</v>
      </c>
      <c r="D7" s="16"/>
      <c r="E7" s="92">
        <f>H9</f>
        <v>0.85</v>
      </c>
      <c r="F7" s="28"/>
    </row>
    <row r="8" spans="3:10" x14ac:dyDescent="0.25">
      <c r="C8" s="36" t="s">
        <v>79</v>
      </c>
      <c r="D8" s="94" t="s">
        <v>80</v>
      </c>
      <c r="E8" s="93">
        <f>(E6*E7)/1.16</f>
        <v>182632.75862068968</v>
      </c>
      <c r="F8" s="26"/>
      <c r="H8" s="54" t="s">
        <v>94</v>
      </c>
    </row>
    <row r="9" spans="3:10" x14ac:dyDescent="0.25">
      <c r="C9" s="27" t="s">
        <v>72</v>
      </c>
      <c r="D9" s="16"/>
      <c r="E9" s="18">
        <f>E8*J6</f>
        <v>3378706.034482759</v>
      </c>
      <c r="F9" s="28"/>
      <c r="H9" s="10">
        <v>0.85</v>
      </c>
    </row>
    <row r="10" spans="3:10" x14ac:dyDescent="0.25">
      <c r="C10" s="27" t="s">
        <v>73</v>
      </c>
      <c r="D10" s="16"/>
      <c r="E10" s="17">
        <f>E9*0.16</f>
        <v>540592.96551724139</v>
      </c>
      <c r="F10" s="28"/>
    </row>
    <row r="11" spans="3:10" x14ac:dyDescent="0.25">
      <c r="C11" s="27" t="s">
        <v>74</v>
      </c>
      <c r="D11" s="16"/>
      <c r="E11" s="17">
        <f>SUM(E9:E10)</f>
        <v>3919299.0000000005</v>
      </c>
      <c r="F11" s="28"/>
      <c r="H11" s="55"/>
    </row>
    <row r="12" spans="3:10" x14ac:dyDescent="0.25">
      <c r="C12" s="29"/>
      <c r="D12" s="25"/>
      <c r="E12" s="25"/>
      <c r="F12" s="30"/>
      <c r="H12" s="55"/>
      <c r="J12" s="11"/>
    </row>
    <row r="13" spans="3:10" x14ac:dyDescent="0.25">
      <c r="H13" s="55"/>
    </row>
    <row r="14" spans="3:10" x14ac:dyDescent="0.25">
      <c r="C14" s="181" t="s">
        <v>144</v>
      </c>
      <c r="D14">
        <f>25000*1.16</f>
        <v>28999.999999999996</v>
      </c>
      <c r="H14" s="55"/>
    </row>
    <row r="15" spans="3:10" x14ac:dyDescent="0.25">
      <c r="C15" s="177" t="s">
        <v>145</v>
      </c>
      <c r="D15">
        <f>30000*1.16</f>
        <v>34800</v>
      </c>
      <c r="H15" s="55"/>
    </row>
    <row r="16" spans="3:10" x14ac:dyDescent="0.25">
      <c r="C16" s="177" t="s">
        <v>146</v>
      </c>
      <c r="H16" s="55"/>
    </row>
    <row r="17" spans="3:8" x14ac:dyDescent="0.25">
      <c r="C17" s="177" t="s">
        <v>147</v>
      </c>
      <c r="H17" s="55"/>
    </row>
    <row r="18" spans="3:8" x14ac:dyDescent="0.25">
      <c r="C18" s="177" t="s">
        <v>148</v>
      </c>
      <c r="F18" s="11">
        <f>E11*0.2</f>
        <v>783859.80000000016</v>
      </c>
      <c r="H18" s="55"/>
    </row>
    <row r="19" spans="3:8" x14ac:dyDescent="0.25">
      <c r="C19" s="182" t="s">
        <v>149</v>
      </c>
      <c r="H19" s="55"/>
    </row>
    <row r="21" spans="3:8" x14ac:dyDescent="0.25">
      <c r="C21" t="s">
        <v>150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CF67-6480-4578-9FE7-0EE808DDCB17}">
  <dimension ref="G2:K29"/>
  <sheetViews>
    <sheetView topLeftCell="A3" workbookViewId="0">
      <selection activeCell="I4" sqref="I4"/>
    </sheetView>
  </sheetViews>
  <sheetFormatPr baseColWidth="10" defaultRowHeight="15" x14ac:dyDescent="0.25"/>
  <cols>
    <col min="8" max="8" width="17.7109375" customWidth="1"/>
    <col min="9" max="9" width="16" customWidth="1"/>
    <col min="10" max="10" width="20.42578125" customWidth="1"/>
    <col min="11" max="11" width="22.140625" customWidth="1"/>
  </cols>
  <sheetData>
    <row r="2" spans="7:11" ht="15.75" thickBot="1" x14ac:dyDescent="0.3"/>
    <row r="3" spans="7:11" ht="31.5" thickTop="1" thickBot="1" x14ac:dyDescent="0.3">
      <c r="G3" s="66" t="s">
        <v>66</v>
      </c>
      <c r="H3" s="66" t="s">
        <v>67</v>
      </c>
      <c r="I3" s="67" t="s">
        <v>69</v>
      </c>
      <c r="J3" s="68"/>
      <c r="K3" s="66" t="s">
        <v>68</v>
      </c>
    </row>
    <row r="4" spans="7:11" ht="16.5" thickTop="1" thickBot="1" x14ac:dyDescent="0.3">
      <c r="G4" s="68">
        <v>1</v>
      </c>
      <c r="H4" s="69">
        <f>'tabla general'!K18</f>
        <v>1352898.0102861905</v>
      </c>
      <c r="I4" s="69">
        <f>H4</f>
        <v>1352898.0102861905</v>
      </c>
      <c r="J4" s="68"/>
      <c r="K4" s="68">
        <v>5</v>
      </c>
    </row>
    <row r="5" spans="7:11" ht="16.5" thickTop="1" thickBot="1" x14ac:dyDescent="0.3">
      <c r="G5" s="68">
        <v>2</v>
      </c>
      <c r="H5" s="69">
        <f t="shared" ref="H5:H28" si="0">H4*(1+($K$4/100))</f>
        <v>1420542.9108005001</v>
      </c>
      <c r="I5" s="69">
        <f>I4+H5</f>
        <v>2773440.9210866904</v>
      </c>
      <c r="J5" s="68"/>
      <c r="K5" s="68"/>
    </row>
    <row r="6" spans="7:11" ht="16.5" thickTop="1" thickBot="1" x14ac:dyDescent="0.3">
      <c r="G6" s="68">
        <v>3</v>
      </c>
      <c r="H6" s="69">
        <f t="shared" si="0"/>
        <v>1491570.0563405252</v>
      </c>
      <c r="I6" s="69">
        <f>I5+H6</f>
        <v>4265010.9774272153</v>
      </c>
      <c r="J6" s="68"/>
      <c r="K6" s="68"/>
    </row>
    <row r="7" spans="7:11" ht="16.5" thickTop="1" thickBot="1" x14ac:dyDescent="0.3">
      <c r="G7" s="68">
        <v>4</v>
      </c>
      <c r="H7" s="69">
        <f t="shared" si="0"/>
        <v>1566148.5591575515</v>
      </c>
      <c r="I7" s="69">
        <f t="shared" ref="I7:I28" si="1">I6+H7</f>
        <v>5831159.5365847666</v>
      </c>
      <c r="J7" s="68"/>
      <c r="K7" s="68"/>
    </row>
    <row r="8" spans="7:11" ht="16.5" thickTop="1" thickBot="1" x14ac:dyDescent="0.3">
      <c r="G8" s="68">
        <v>5</v>
      </c>
      <c r="H8" s="69">
        <f t="shared" si="0"/>
        <v>1644455.9871154292</v>
      </c>
      <c r="I8" s="69">
        <f t="shared" si="1"/>
        <v>7475615.5237001963</v>
      </c>
      <c r="J8" s="68"/>
      <c r="K8" s="68"/>
    </row>
    <row r="9" spans="7:11" ht="16.5" thickTop="1" thickBot="1" x14ac:dyDescent="0.3">
      <c r="G9" s="68">
        <v>6</v>
      </c>
      <c r="H9" s="69">
        <f t="shared" si="0"/>
        <v>1726678.7864712009</v>
      </c>
      <c r="I9" s="69">
        <f t="shared" si="1"/>
        <v>9202294.3101713974</v>
      </c>
      <c r="J9" s="68"/>
      <c r="K9" s="68"/>
    </row>
    <row r="10" spans="7:11" ht="16.5" thickTop="1" thickBot="1" x14ac:dyDescent="0.3">
      <c r="G10" s="68">
        <v>7</v>
      </c>
      <c r="H10" s="69">
        <f t="shared" si="0"/>
        <v>1813012.725794761</v>
      </c>
      <c r="I10" s="69">
        <f t="shared" si="1"/>
        <v>11015307.035966158</v>
      </c>
      <c r="J10" s="68"/>
      <c r="K10" s="68"/>
    </row>
    <row r="11" spans="7:11" ht="16.5" thickTop="1" thickBot="1" x14ac:dyDescent="0.3">
      <c r="G11" s="68">
        <v>8</v>
      </c>
      <c r="H11" s="69">
        <f t="shared" si="0"/>
        <v>1903663.3620844991</v>
      </c>
      <c r="I11" s="69">
        <f t="shared" si="1"/>
        <v>12918970.398050657</v>
      </c>
      <c r="J11" s="68"/>
      <c r="K11" s="68"/>
    </row>
    <row r="12" spans="7:11" ht="16.5" thickTop="1" thickBot="1" x14ac:dyDescent="0.3">
      <c r="G12" s="68">
        <v>9</v>
      </c>
      <c r="H12" s="69">
        <f t="shared" si="0"/>
        <v>1998846.5301887242</v>
      </c>
      <c r="I12" s="69">
        <f t="shared" si="1"/>
        <v>14917816.928239381</v>
      </c>
      <c r="J12" s="68"/>
      <c r="K12" s="68"/>
    </row>
    <row r="13" spans="7:11" ht="16.5" thickTop="1" thickBot="1" x14ac:dyDescent="0.3">
      <c r="G13" s="68">
        <v>10</v>
      </c>
      <c r="H13" s="69">
        <f t="shared" si="0"/>
        <v>2098788.8566981605</v>
      </c>
      <c r="I13" s="69">
        <f t="shared" si="1"/>
        <v>17016605.784937542</v>
      </c>
      <c r="J13" s="68"/>
      <c r="K13" s="68"/>
    </row>
    <row r="14" spans="7:11" ht="16.5" thickTop="1" thickBot="1" x14ac:dyDescent="0.3">
      <c r="G14" s="68">
        <v>11</v>
      </c>
      <c r="H14" s="69">
        <f t="shared" si="0"/>
        <v>2203728.2995330687</v>
      </c>
      <c r="I14" s="69">
        <f t="shared" si="1"/>
        <v>19220334.084470611</v>
      </c>
      <c r="J14" s="68"/>
      <c r="K14" s="68"/>
    </row>
    <row r="15" spans="7:11" ht="16.5" thickTop="1" thickBot="1" x14ac:dyDescent="0.3">
      <c r="G15" s="68">
        <v>12</v>
      </c>
      <c r="H15" s="69">
        <f t="shared" si="0"/>
        <v>2313914.7145097223</v>
      </c>
      <c r="I15" s="69">
        <f t="shared" si="1"/>
        <v>21534248.798980333</v>
      </c>
      <c r="J15" s="68"/>
      <c r="K15" s="68"/>
    </row>
    <row r="16" spans="7:11" ht="16.5" thickTop="1" thickBot="1" x14ac:dyDescent="0.3">
      <c r="G16" s="68">
        <v>13</v>
      </c>
      <c r="H16" s="69">
        <f t="shared" si="0"/>
        <v>2429610.4502352085</v>
      </c>
      <c r="I16" s="69">
        <f t="shared" si="1"/>
        <v>23963859.249215543</v>
      </c>
      <c r="J16" s="68"/>
      <c r="K16" s="68"/>
    </row>
    <row r="17" spans="7:11" ht="16.5" thickTop="1" thickBot="1" x14ac:dyDescent="0.3">
      <c r="G17" s="68">
        <v>14</v>
      </c>
      <c r="H17" s="69">
        <f t="shared" si="0"/>
        <v>2551090.9727469692</v>
      </c>
      <c r="I17" s="69">
        <f t="shared" si="1"/>
        <v>26514950.221962512</v>
      </c>
      <c r="J17" s="68"/>
      <c r="K17" s="68"/>
    </row>
    <row r="18" spans="7:11" ht="16.5" thickTop="1" thickBot="1" x14ac:dyDescent="0.3">
      <c r="G18" s="68">
        <v>15</v>
      </c>
      <c r="H18" s="69">
        <f t="shared" si="0"/>
        <v>2678645.5213843179</v>
      </c>
      <c r="I18" s="69">
        <f t="shared" si="1"/>
        <v>29193595.743346829</v>
      </c>
      <c r="J18" s="68"/>
      <c r="K18" s="68"/>
    </row>
    <row r="19" spans="7:11" ht="16.5" thickTop="1" thickBot="1" x14ac:dyDescent="0.3">
      <c r="G19" s="68">
        <v>16</v>
      </c>
      <c r="H19" s="69">
        <f t="shared" si="0"/>
        <v>2812577.7974535339</v>
      </c>
      <c r="I19" s="69">
        <f t="shared" si="1"/>
        <v>32006173.540800363</v>
      </c>
      <c r="J19" s="68"/>
      <c r="K19" s="68"/>
    </row>
    <row r="20" spans="7:11" ht="16.5" thickTop="1" thickBot="1" x14ac:dyDescent="0.3">
      <c r="G20" s="68">
        <v>17</v>
      </c>
      <c r="H20" s="69">
        <f t="shared" si="0"/>
        <v>2953206.6873262106</v>
      </c>
      <c r="I20" s="69">
        <f t="shared" si="1"/>
        <v>34959380.228126571</v>
      </c>
      <c r="J20" s="68"/>
      <c r="K20" s="68"/>
    </row>
    <row r="21" spans="7:11" ht="16.5" thickTop="1" thickBot="1" x14ac:dyDescent="0.3">
      <c r="G21" s="68">
        <v>18</v>
      </c>
      <c r="H21" s="69">
        <f t="shared" si="0"/>
        <v>3100867.0216925214</v>
      </c>
      <c r="I21" s="69">
        <f t="shared" si="1"/>
        <v>38060247.249819092</v>
      </c>
      <c r="J21" s="68"/>
      <c r="K21" s="68"/>
    </row>
    <row r="22" spans="7:11" ht="16.5" thickTop="1" thickBot="1" x14ac:dyDescent="0.3">
      <c r="G22" s="68">
        <v>19</v>
      </c>
      <c r="H22" s="69">
        <f t="shared" si="0"/>
        <v>3255910.3727771477</v>
      </c>
      <c r="I22" s="69">
        <f t="shared" si="1"/>
        <v>41316157.622596242</v>
      </c>
      <c r="J22" s="68"/>
      <c r="K22" s="68"/>
    </row>
    <row r="23" spans="7:11" ht="16.5" thickTop="1" thickBot="1" x14ac:dyDescent="0.3">
      <c r="G23" s="68">
        <v>20</v>
      </c>
      <c r="H23" s="69">
        <f t="shared" si="0"/>
        <v>3418705.8914160053</v>
      </c>
      <c r="I23" s="69">
        <f t="shared" si="1"/>
        <v>44734863.514012247</v>
      </c>
      <c r="J23" s="68"/>
      <c r="K23" s="68"/>
    </row>
    <row r="24" spans="7:11" ht="16.5" thickTop="1" thickBot="1" x14ac:dyDescent="0.3">
      <c r="G24" s="68">
        <v>21</v>
      </c>
      <c r="H24" s="69">
        <f t="shared" si="0"/>
        <v>3589641.1859868057</v>
      </c>
      <c r="I24" s="69">
        <f t="shared" si="1"/>
        <v>48324504.699999049</v>
      </c>
      <c r="J24" s="68"/>
      <c r="K24" s="68"/>
    </row>
    <row r="25" spans="7:11" ht="16.5" thickTop="1" thickBot="1" x14ac:dyDescent="0.3">
      <c r="G25" s="68">
        <v>22</v>
      </c>
      <c r="H25" s="69">
        <f t="shared" si="0"/>
        <v>3769123.2452861462</v>
      </c>
      <c r="I25" s="69">
        <f t="shared" si="1"/>
        <v>52093627.945285194</v>
      </c>
      <c r="J25" s="68"/>
      <c r="K25" s="68"/>
    </row>
    <row r="26" spans="7:11" ht="16.5" thickTop="1" thickBot="1" x14ac:dyDescent="0.3">
      <c r="G26" s="68">
        <v>23</v>
      </c>
      <c r="H26" s="69">
        <f t="shared" si="0"/>
        <v>3957579.4075504537</v>
      </c>
      <c r="I26" s="69">
        <f t="shared" si="1"/>
        <v>56051207.352835648</v>
      </c>
      <c r="J26" s="68"/>
      <c r="K26" s="68"/>
    </row>
    <row r="27" spans="7:11" ht="16.5" thickTop="1" thickBot="1" x14ac:dyDescent="0.3">
      <c r="G27" s="68">
        <v>24</v>
      </c>
      <c r="H27" s="69">
        <f t="shared" si="0"/>
        <v>4155458.3779279767</v>
      </c>
      <c r="I27" s="69">
        <f t="shared" si="1"/>
        <v>60206665.730763622</v>
      </c>
      <c r="J27" s="68"/>
      <c r="K27" s="68"/>
    </row>
    <row r="28" spans="7:11" ht="16.5" thickTop="1" thickBot="1" x14ac:dyDescent="0.3">
      <c r="G28" s="68">
        <v>25</v>
      </c>
      <c r="H28" s="69">
        <f t="shared" si="0"/>
        <v>4363231.2968243761</v>
      </c>
      <c r="I28" s="69">
        <f t="shared" si="1"/>
        <v>64569897.027587995</v>
      </c>
      <c r="J28" s="68"/>
      <c r="K28" s="68"/>
    </row>
    <row r="29" spans="7:11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FP</vt:lpstr>
      <vt:lpstr>CON FACTOR DE POTENCIA </vt:lpstr>
      <vt:lpstr>tabla general</vt:lpstr>
      <vt:lpstr>COTIZACIÓN </vt:lpstr>
      <vt:lpstr>ROI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Gonzalez</dc:creator>
  <cp:lastModifiedBy>Alan González</cp:lastModifiedBy>
  <dcterms:created xsi:type="dcterms:W3CDTF">2015-06-05T18:17:20Z</dcterms:created>
  <dcterms:modified xsi:type="dcterms:W3CDTF">2025-09-30T22:42:15Z</dcterms:modified>
</cp:coreProperties>
</file>