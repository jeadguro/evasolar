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ana\OneDrive\Desktop\Documentos Respaldo\PROYECTOS ANIA SOLAR\Curso sistemas fotovoltaicos interconectados\CURSO PREGRABADO TARIFAS ELÉCTRICAS EN BAJA TENSIÓN\"/>
    </mc:Choice>
  </mc:AlternateContent>
  <xr:revisionPtr revIDLastSave="0" documentId="13_ncr:1_{2A86029C-1BE8-415D-84BE-E6D695EE77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RIFA" sheetId="2" r:id="rId1"/>
    <sheet name="Desglose energía" sheetId="1" r:id="rId2"/>
    <sheet name="Con FV" sheetId="3" r:id="rId3"/>
    <sheet name="GRÁFICA GENERAL" sheetId="5" r:id="rId4"/>
    <sheet name="COSTOS" sheetId="6" r:id="rId5"/>
    <sheet name="AHORRO ACUMULADO" sheetId="4" r:id="rId6"/>
    <sheet name="Equipos 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A9" i="3"/>
  <c r="A10" i="3"/>
  <c r="A12" i="3"/>
  <c r="A13" i="3"/>
  <c r="A8" i="3"/>
  <c r="B72" i="3"/>
  <c r="I8" i="1" a="1"/>
  <c r="I8" i="1" s="1"/>
  <c r="I10" i="1"/>
  <c r="I11" i="1"/>
  <c r="I12" i="1"/>
  <c r="I13" i="1"/>
  <c r="H10" i="1"/>
  <c r="H24" i="3"/>
  <c r="I24" i="3"/>
  <c r="J24" i="3"/>
  <c r="K24" i="3"/>
  <c r="H25" i="3"/>
  <c r="I25" i="3"/>
  <c r="J25" i="3"/>
  <c r="K25" i="3"/>
  <c r="E36" i="3"/>
  <c r="H27" i="3"/>
  <c r="I27" i="3"/>
  <c r="J27" i="3"/>
  <c r="K27" i="3"/>
  <c r="K44" i="2"/>
  <c r="J30" i="3"/>
  <c r="M5" i="3" l="1"/>
  <c r="F17" i="6"/>
  <c r="F16" i="6"/>
  <c r="J44" i="2"/>
  <c r="I44" i="2"/>
  <c r="F44" i="2"/>
  <c r="E44" i="2"/>
  <c r="G6" i="1" s="1"/>
  <c r="H26" i="3"/>
  <c r="I26" i="3"/>
  <c r="J26" i="3"/>
  <c r="K26" i="3"/>
  <c r="H28" i="3"/>
  <c r="I28" i="3"/>
  <c r="J28" i="3"/>
  <c r="K28" i="3"/>
  <c r="H29" i="3"/>
  <c r="I29" i="3"/>
  <c r="J29" i="3"/>
  <c r="K29" i="3"/>
  <c r="H30" i="3"/>
  <c r="I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F24" i="3" l="1"/>
  <c r="F25" i="3"/>
  <c r="F27" i="3"/>
  <c r="J8" i="1"/>
  <c r="J12" i="1"/>
  <c r="H12" i="1"/>
  <c r="H11" i="1"/>
  <c r="H9" i="1"/>
  <c r="H8" i="1"/>
  <c r="H13" i="1"/>
  <c r="A8" i="1"/>
  <c r="A9" i="1"/>
  <c r="I9" i="1" s="1"/>
  <c r="A10" i="1"/>
  <c r="G26" i="1" s="1"/>
  <c r="A12" i="1"/>
  <c r="G28" i="1" s="1"/>
  <c r="A13" i="1"/>
  <c r="G29" i="1" s="1"/>
  <c r="A11" i="1"/>
  <c r="G27" i="1" s="1"/>
  <c r="F6" i="6"/>
  <c r="F9" i="6" s="1"/>
  <c r="G11" i="1"/>
  <c r="H6" i="1"/>
  <c r="J10" i="1"/>
  <c r="G13" i="1"/>
  <c r="G10" i="1"/>
  <c r="J9" i="1"/>
  <c r="G12" i="1"/>
  <c r="G9" i="1"/>
  <c r="G8" i="1"/>
  <c r="J11" i="1"/>
  <c r="J13" i="1"/>
  <c r="J7" i="1"/>
  <c r="J5" i="1"/>
  <c r="G5" i="1"/>
  <c r="H5" i="1" s="1"/>
  <c r="G14" i="1"/>
  <c r="H14" i="1" s="1"/>
  <c r="J14" i="1"/>
  <c r="J4" i="1"/>
  <c r="G4" i="1"/>
  <c r="H4" i="1" s="1"/>
  <c r="G15" i="1"/>
  <c r="H15" i="1" s="1"/>
  <c r="G7" i="1"/>
  <c r="H7" i="1" s="1"/>
  <c r="J15" i="1"/>
  <c r="J6" i="1"/>
  <c r="G25" i="1" l="1"/>
  <c r="H9" i="6"/>
  <c r="F10" i="6"/>
  <c r="F11" i="6" s="1"/>
  <c r="G24" i="1"/>
  <c r="J16" i="1"/>
  <c r="E16" i="1"/>
  <c r="F41" i="3" l="1"/>
  <c r="F42" i="3"/>
  <c r="F43" i="3"/>
  <c r="F50" i="3"/>
  <c r="F51" i="3"/>
  <c r="F40" i="3"/>
  <c r="G21" i="1"/>
  <c r="G22" i="1"/>
  <c r="G23" i="1"/>
  <c r="G30" i="1"/>
  <c r="G31" i="1"/>
  <c r="G20" i="1"/>
  <c r="F26" i="3"/>
  <c r="F28" i="3"/>
  <c r="F29" i="3"/>
  <c r="F30" i="3"/>
  <c r="F31" i="3"/>
  <c r="F32" i="3"/>
  <c r="F33" i="3"/>
  <c r="F34" i="3"/>
  <c r="F35" i="3"/>
  <c r="D7" i="3"/>
  <c r="D8" i="3"/>
  <c r="D9" i="3"/>
  <c r="D10" i="3"/>
  <c r="D11" i="3"/>
  <c r="D12" i="3"/>
  <c r="D13" i="3"/>
  <c r="F16" i="5" s="1"/>
  <c r="D14" i="3"/>
  <c r="D15" i="3"/>
  <c r="F18" i="5" s="1"/>
  <c r="D16" i="3"/>
  <c r="F19" i="5" s="1"/>
  <c r="D17" i="3"/>
  <c r="F20" i="5" s="1"/>
  <c r="D6" i="3"/>
  <c r="E20" i="1"/>
  <c r="E28" i="1"/>
  <c r="E29" i="1"/>
  <c r="F15" i="5" l="1"/>
  <c r="D59" i="3"/>
  <c r="D72" i="3" s="1"/>
  <c r="B74" i="3"/>
  <c r="C61" i="3" s="1"/>
  <c r="D61" i="3"/>
  <c r="D74" i="3" s="1"/>
  <c r="B73" i="3"/>
  <c r="C60" i="3" s="1"/>
  <c r="D60" i="3"/>
  <c r="D73" i="3" s="1"/>
  <c r="B78" i="3"/>
  <c r="C65" i="3" s="1"/>
  <c r="D65" i="3"/>
  <c r="D78" i="3" s="1"/>
  <c r="B76" i="3"/>
  <c r="C63" i="3" s="1"/>
  <c r="D63" i="3"/>
  <c r="B82" i="3"/>
  <c r="C69" i="3" s="1"/>
  <c r="D69" i="3"/>
  <c r="D82" i="3" s="1"/>
  <c r="B81" i="3"/>
  <c r="C68" i="3" s="1"/>
  <c r="D68" i="3"/>
  <c r="D81" i="3" s="1"/>
  <c r="B80" i="3"/>
  <c r="C67" i="3" s="1"/>
  <c r="D67" i="3"/>
  <c r="D80" i="3" s="1"/>
  <c r="B79" i="3"/>
  <c r="C66" i="3" s="1"/>
  <c r="D66" i="3"/>
  <c r="D79" i="3" s="1"/>
  <c r="B77" i="3"/>
  <c r="D64" i="3"/>
  <c r="D77" i="3" s="1"/>
  <c r="B83" i="3"/>
  <c r="C70" i="3" s="1"/>
  <c r="D70" i="3"/>
  <c r="D83" i="3" s="1"/>
  <c r="B75" i="3"/>
  <c r="C62" i="3" s="1"/>
  <c r="D62" i="3"/>
  <c r="D75" i="3" s="1"/>
  <c r="F13" i="5"/>
  <c r="F10" i="5"/>
  <c r="F14" i="5"/>
  <c r="F12" i="5"/>
  <c r="F11" i="5"/>
  <c r="F9" i="5"/>
  <c r="F17" i="5"/>
  <c r="D19" i="3"/>
  <c r="R8" i="3" s="1"/>
  <c r="G13" i="5"/>
  <c r="G12" i="5"/>
  <c r="G20" i="5"/>
  <c r="G19" i="5"/>
  <c r="G11" i="5"/>
  <c r="G18" i="5"/>
  <c r="G10" i="5"/>
  <c r="G17" i="5"/>
  <c r="G16" i="5"/>
  <c r="G15" i="5"/>
  <c r="G9" i="5"/>
  <c r="G14" i="5"/>
  <c r="F36" i="3"/>
  <c r="F20" i="1"/>
  <c r="H30" i="1"/>
  <c r="E24" i="1"/>
  <c r="H24" i="1"/>
  <c r="C64" i="3" l="1"/>
  <c r="C82" i="3"/>
  <c r="C83" i="3" s="1"/>
  <c r="D76" i="3"/>
  <c r="E72" i="3" s="1"/>
  <c r="D56" i="3"/>
  <c r="F30" i="1"/>
  <c r="E30" i="1"/>
  <c r="F24" i="1"/>
  <c r="F28" i="1" l="1"/>
  <c r="H28" i="1"/>
  <c r="H27" i="1"/>
  <c r="H26" i="1"/>
  <c r="H25" i="1"/>
  <c r="H23" i="1"/>
  <c r="H22" i="1"/>
  <c r="H21" i="1"/>
  <c r="H20" i="1"/>
  <c r="J20" i="1" s="1"/>
  <c r="H9" i="5" s="1"/>
  <c r="H31" i="1"/>
  <c r="H29" i="1"/>
  <c r="F23" i="1" l="1"/>
  <c r="E23" i="1"/>
  <c r="F27" i="1"/>
  <c r="E27" i="1"/>
  <c r="F25" i="1"/>
  <c r="E25" i="1"/>
  <c r="F21" i="1"/>
  <c r="E21" i="1"/>
  <c r="F22" i="1"/>
  <c r="E22" i="1"/>
  <c r="F31" i="1"/>
  <c r="E31" i="1"/>
  <c r="F26" i="1"/>
  <c r="E26" i="1"/>
  <c r="J28" i="1"/>
  <c r="H17" i="5" s="1"/>
  <c r="J24" i="1"/>
  <c r="H13" i="5" s="1"/>
  <c r="I20" i="1"/>
  <c r="I28" i="1"/>
  <c r="I30" i="1"/>
  <c r="I24" i="1"/>
  <c r="I23" i="1" l="1"/>
  <c r="I27" i="1"/>
  <c r="J22" i="1"/>
  <c r="H11" i="5" s="1"/>
  <c r="I31" i="1"/>
  <c r="F29" i="1"/>
  <c r="I29" i="1" s="1"/>
  <c r="I26" i="1"/>
  <c r="J31" i="1"/>
  <c r="H20" i="5" s="1"/>
  <c r="J30" i="1"/>
  <c r="H19" i="5" s="1"/>
  <c r="J23" i="1"/>
  <c r="H12" i="5" s="1"/>
  <c r="J21" i="1"/>
  <c r="H10" i="5" s="1"/>
  <c r="J26" i="1"/>
  <c r="H15" i="5" s="1"/>
  <c r="J27" i="1"/>
  <c r="H16" i="5" s="1"/>
  <c r="I25" i="1"/>
  <c r="J25" i="1"/>
  <c r="H14" i="5" s="1"/>
  <c r="I22" i="1"/>
  <c r="I21" i="1"/>
  <c r="J29" i="1" l="1"/>
  <c r="J32" i="1" l="1"/>
  <c r="H18" i="5"/>
  <c r="F15" i="6" l="1"/>
  <c r="F18" i="6" s="1"/>
  <c r="F19" i="6" l="1"/>
  <c r="F20" i="6" s="1"/>
  <c r="C59" i="3"/>
  <c r="E73" i="3" s="1"/>
  <c r="E74" i="3" l="1"/>
  <c r="E60" i="3"/>
  <c r="F60" i="3" s="1"/>
  <c r="E7" i="3" s="1"/>
  <c r="E59" i="3"/>
  <c r="F59" i="3" s="1"/>
  <c r="E6" i="3" s="1"/>
  <c r="K6" i="3" l="1"/>
  <c r="G40" i="3" s="1"/>
  <c r="H6" i="3"/>
  <c r="I6" i="3" s="1"/>
  <c r="K7" i="3"/>
  <c r="G41" i="3" s="1"/>
  <c r="H7" i="3"/>
  <c r="D41" i="3" s="1"/>
  <c r="E75" i="3"/>
  <c r="E61" i="3"/>
  <c r="F61" i="3" s="1"/>
  <c r="E8" i="3" s="1"/>
  <c r="F74" i="3"/>
  <c r="H8" i="3" l="1"/>
  <c r="D42" i="3" s="1"/>
  <c r="K8" i="3"/>
  <c r="G42" i="3" s="1"/>
  <c r="I7" i="3"/>
  <c r="E41" i="3" s="1"/>
  <c r="I41" i="3" s="1"/>
  <c r="J41" i="3" s="1"/>
  <c r="I10" i="5" s="1"/>
  <c r="J10" i="5" s="1"/>
  <c r="D40" i="3"/>
  <c r="E40" i="3"/>
  <c r="E76" i="3"/>
  <c r="E62" i="3"/>
  <c r="F62" i="3" s="1"/>
  <c r="E9" i="3" s="1"/>
  <c r="I40" i="3" l="1"/>
  <c r="J40" i="3" s="1"/>
  <c r="I8" i="3"/>
  <c r="E42" i="3" s="1"/>
  <c r="I42" i="3" s="1"/>
  <c r="J42" i="3" s="1"/>
  <c r="I11" i="5" s="1"/>
  <c r="J11" i="5" s="1"/>
  <c r="H9" i="3"/>
  <c r="D43" i="3" s="1"/>
  <c r="K9" i="3"/>
  <c r="G43" i="3" s="1"/>
  <c r="E77" i="3"/>
  <c r="E63" i="3"/>
  <c r="F63" i="3" s="1"/>
  <c r="E10" i="3" s="1"/>
  <c r="I9" i="5" l="1"/>
  <c r="J9" i="5" s="1"/>
  <c r="I9" i="3"/>
  <c r="E43" i="3" s="1"/>
  <c r="I43" i="3" s="1"/>
  <c r="J43" i="3" s="1"/>
  <c r="E64" i="3"/>
  <c r="F64" i="3" s="1"/>
  <c r="E11" i="3" s="1"/>
  <c r="E78" i="3"/>
  <c r="K11" i="3" l="1"/>
  <c r="H11" i="3"/>
  <c r="J11" i="3" a="1"/>
  <c r="J11" i="3" s="1"/>
  <c r="K10" i="3"/>
  <c r="G44" i="3" s="1"/>
  <c r="H10" i="3"/>
  <c r="D44" i="3" s="1"/>
  <c r="J10" i="3" a="1"/>
  <c r="J10" i="3" s="1"/>
  <c r="I10" i="3"/>
  <c r="E44" i="3" s="1"/>
  <c r="I12" i="5"/>
  <c r="J12" i="5" s="1"/>
  <c r="E79" i="3"/>
  <c r="E65" i="3"/>
  <c r="F65" i="3" s="1"/>
  <c r="E12" i="3" s="1"/>
  <c r="J12" i="3" s="1" a="1"/>
  <c r="J12" i="3" s="1"/>
  <c r="G45" i="3" l="1"/>
  <c r="F45" i="3"/>
  <c r="F44" i="3"/>
  <c r="I44" i="3" s="1"/>
  <c r="J44" i="3" s="1"/>
  <c r="I13" i="5" s="1"/>
  <c r="J13" i="5" s="1"/>
  <c r="D45" i="3"/>
  <c r="I11" i="3"/>
  <c r="E45" i="3" s="1"/>
  <c r="I12" i="3"/>
  <c r="F46" i="3"/>
  <c r="H12" i="3"/>
  <c r="D46" i="3" s="1"/>
  <c r="K12" i="3"/>
  <c r="G46" i="3" s="1"/>
  <c r="E66" i="3"/>
  <c r="F66" i="3" s="1"/>
  <c r="E80" i="3"/>
  <c r="I45" i="3" l="1"/>
  <c r="J45" i="3" s="1"/>
  <c r="I14" i="5" s="1"/>
  <c r="J14" i="5" s="1"/>
  <c r="E13" i="3"/>
  <c r="J13" i="3" s="1" a="1"/>
  <c r="J13" i="3" s="1"/>
  <c r="E46" i="3"/>
  <c r="I46" i="3" s="1"/>
  <c r="J46" i="3" s="1"/>
  <c r="I15" i="5" s="1"/>
  <c r="J15" i="5" s="1"/>
  <c r="E81" i="3"/>
  <c r="E67" i="3"/>
  <c r="F67" i="3" s="1"/>
  <c r="F47" i="3" l="1"/>
  <c r="K13" i="3"/>
  <c r="G47" i="3" s="1"/>
  <c r="H13" i="3"/>
  <c r="D47" i="3" s="1"/>
  <c r="E14" i="3"/>
  <c r="J14" i="3" s="1" a="1"/>
  <c r="J14" i="3" s="1"/>
  <c r="I13" i="3"/>
  <c r="E47" i="3" s="1"/>
  <c r="E82" i="3"/>
  <c r="E68" i="3"/>
  <c r="F68" i="3" s="1"/>
  <c r="K14" i="3" l="1"/>
  <c r="G48" i="3" s="1"/>
  <c r="F48" i="3"/>
  <c r="H14" i="3"/>
  <c r="D48" i="3" s="1"/>
  <c r="I47" i="3"/>
  <c r="J47" i="3" s="1"/>
  <c r="I16" i="5" s="1"/>
  <c r="J16" i="5" s="1"/>
  <c r="E15" i="3"/>
  <c r="J15" i="3" s="1" a="1"/>
  <c r="J15" i="3" s="1"/>
  <c r="I14" i="3"/>
  <c r="E48" i="3" s="1"/>
  <c r="E69" i="3"/>
  <c r="F69" i="3" s="1"/>
  <c r="E16" i="3" s="1"/>
  <c r="E83" i="3"/>
  <c r="E70" i="3" s="1"/>
  <c r="F70" i="3" s="1"/>
  <c r="E17" i="3" s="1"/>
  <c r="K15" i="3" l="1"/>
  <c r="G49" i="3" s="1"/>
  <c r="F49" i="3"/>
  <c r="H15" i="3"/>
  <c r="D49" i="3" s="1"/>
  <c r="I48" i="3"/>
  <c r="J48" i="3" s="1"/>
  <c r="I17" i="5" s="1"/>
  <c r="J17" i="5" s="1"/>
  <c r="I15" i="3"/>
  <c r="E49" i="3" s="1"/>
  <c r="K16" i="3"/>
  <c r="G50" i="3" s="1"/>
  <c r="H16" i="3"/>
  <c r="D50" i="3" s="1"/>
  <c r="H17" i="3"/>
  <c r="K17" i="3"/>
  <c r="G51" i="3" s="1"/>
  <c r="E19" i="3"/>
  <c r="F71" i="3"/>
  <c r="I49" i="3" l="1"/>
  <c r="J49" i="3" s="1"/>
  <c r="I18" i="5" s="1"/>
  <c r="J18" i="5" s="1"/>
  <c r="I16" i="3"/>
  <c r="E50" i="3" s="1"/>
  <c r="I50" i="3" s="1"/>
  <c r="J50" i="3" s="1"/>
  <c r="I19" i="5" s="1"/>
  <c r="J19" i="5" s="1"/>
  <c r="I17" i="3"/>
  <c r="E51" i="3" s="1"/>
  <c r="D51" i="3"/>
  <c r="I51" i="3" l="1"/>
  <c r="J51" i="3" s="1"/>
  <c r="J52" i="3" s="1"/>
  <c r="I20" i="5" l="1"/>
  <c r="J20" i="5" s="1"/>
  <c r="J21" i="5" s="1"/>
  <c r="G5" i="4" l="1"/>
  <c r="G24" i="6"/>
  <c r="I22" i="5" s="1"/>
  <c r="G6" i="4" l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I5" i="4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<sst xmlns="http://schemas.openxmlformats.org/spreadsheetml/2006/main" count="287" uniqueCount="123">
  <si>
    <t>Mes</t>
  </si>
  <si>
    <t>Consumo (kWh)</t>
  </si>
  <si>
    <t>Enero</t>
  </si>
  <si>
    <t>Junio</t>
  </si>
  <si>
    <t>Intermedio</t>
  </si>
  <si>
    <t>Básico</t>
  </si>
  <si>
    <t>Intermedio alto</t>
  </si>
  <si>
    <t>Excedente</t>
  </si>
  <si>
    <t>Desglose de energía</t>
  </si>
  <si>
    <t>Cobros por kWh</t>
  </si>
  <si>
    <t>$ básico</t>
  </si>
  <si>
    <t>$ intermedio</t>
  </si>
  <si>
    <t>$ Intermedio alto</t>
  </si>
  <si>
    <t>$ excedente</t>
  </si>
  <si>
    <t>Total</t>
  </si>
  <si>
    <t>Total + IVA</t>
  </si>
  <si>
    <t>Generación</t>
  </si>
  <si>
    <t>Días</t>
  </si>
  <si>
    <t>Eficiencia</t>
  </si>
  <si>
    <t>Consumo nuevo(kWh)</t>
  </si>
  <si>
    <t>Consumo antiguo</t>
  </si>
  <si>
    <t xml:space="preserve">Total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</si>
  <si>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</si>
  <si>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</si>
  <si>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</si>
  <si>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</si>
  <si>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</si>
  <si>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</si>
  <si>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</si>
  <si>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</si>
  <si>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</si>
  <si>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</si>
  <si>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</si>
  <si>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</si>
  <si>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AÑO </t>
  </si>
  <si>
    <t xml:space="preserve">AHORRO ANUAL </t>
  </si>
  <si>
    <t xml:space="preserve">AHORRO ACUMULADO </t>
  </si>
  <si>
    <t>Consumo histórico (kWh)</t>
  </si>
  <si>
    <t>Energía generada por el sistema (kWh)</t>
  </si>
  <si>
    <t>Pago histórico ($)</t>
  </si>
  <si>
    <t>Pago nuevo ($)</t>
  </si>
  <si>
    <t>Ahorro por periodo ($)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</si>
  <si>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</si>
  <si>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</si>
  <si>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</si>
  <si>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</si>
  <si>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</si>
  <si>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</si>
  <si>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</si>
  <si>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</si>
  <si>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</si>
  <si>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</si>
  <si>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 xml:space="preserve">Ahorro anual </t>
  </si>
  <si>
    <t xml:space="preserve">COSTO TOTAL (MXN) </t>
  </si>
  <si>
    <t>COSTO POR WATT (USD /WATT)</t>
  </si>
  <si>
    <t xml:space="preserve">TIPO DE CAMBIO </t>
  </si>
  <si>
    <t xml:space="preserve">Descripción </t>
  </si>
  <si>
    <t xml:space="preserve">tamaño del sistema </t>
  </si>
  <si>
    <t>W</t>
  </si>
  <si>
    <t>Subtotal (MXN)</t>
  </si>
  <si>
    <t>IVA (MXN)</t>
  </si>
  <si>
    <t>TOTAL (MXN)</t>
  </si>
  <si>
    <t>POTENCIA A INSTALAR (KWP)</t>
  </si>
  <si>
    <t>INVIERNO</t>
  </si>
  <si>
    <t xml:space="preserve">BASICO </t>
  </si>
  <si>
    <t xml:space="preserve">INTERMEDIO </t>
  </si>
  <si>
    <t>VERANO</t>
  </si>
  <si>
    <t>EXCEDENTE</t>
  </si>
  <si>
    <t xml:space="preserve">BÁSICO </t>
  </si>
  <si>
    <t>INTERMEDIO BAJO</t>
  </si>
  <si>
    <t>INTERMEDIO ALTO</t>
  </si>
  <si>
    <t>INFLACIÓN (%)</t>
  </si>
  <si>
    <t>ROI ESTIMADO</t>
  </si>
  <si>
    <t>Potencia necesaria (kW)</t>
  </si>
  <si>
    <t>Potencia a instalar (kW)</t>
  </si>
  <si>
    <t>Potencia de panel (Wp)</t>
  </si>
  <si>
    <t>Cantidad de paneles a instalar</t>
  </si>
  <si>
    <t>Nota: determinar consumos por mes*</t>
  </si>
  <si>
    <t>Nota: elegir potencia de panel a instalar*</t>
  </si>
  <si>
    <t>Nota: elegir cantidad de paneles a instalar*</t>
  </si>
  <si>
    <t>Nota: eficiencia dependerá de condiciones de instalación*</t>
  </si>
  <si>
    <t xml:space="preserve">Se podrá tomar como estándar 75% con una orientación e inclinación adecuadas </t>
  </si>
  <si>
    <t>Nota: las HSP se deberán cambiar acorde al sitio de la instalación*</t>
  </si>
  <si>
    <t>Nota: Rango de precio (usd /watt)</t>
  </si>
  <si>
    <t xml:space="preserve">Variar de acuerdo a tipo de cambio de </t>
  </si>
  <si>
    <t xml:space="preserve">DOF al día de cotización </t>
  </si>
  <si>
    <t xml:space="preserve">TARIFA APLICABLE </t>
  </si>
  <si>
    <t>1A</t>
  </si>
  <si>
    <t>1B</t>
  </si>
  <si>
    <t>1C</t>
  </si>
  <si>
    <t>1D</t>
  </si>
  <si>
    <t>1E</t>
  </si>
  <si>
    <t>1F</t>
  </si>
  <si>
    <t xml:space="preserve"> 1 A</t>
  </si>
  <si>
    <t xml:space="preserve"> 1 B</t>
  </si>
  <si>
    <t>1 C</t>
  </si>
  <si>
    <t xml:space="preserve"> 1 D</t>
  </si>
  <si>
    <t xml:space="preserve"> 1 E</t>
  </si>
  <si>
    <t xml:space="preserve"> 1 F</t>
  </si>
  <si>
    <t>Tarifa</t>
  </si>
  <si>
    <t># indicador</t>
  </si>
  <si>
    <t xml:space="preserve">Nota: elegir tarifa </t>
  </si>
  <si>
    <t xml:space="preserve">aplicable al sitio de la instalación </t>
  </si>
  <si>
    <t>Nota: elegir tarifa en función de su número</t>
  </si>
  <si>
    <t xml:space="preserve">Por ejemplo: </t>
  </si>
  <si>
    <t>Para tarifa 1F, el número indicador es el 7</t>
  </si>
  <si>
    <t xml:space="preserve">Precio dólar/ watt </t>
  </si>
  <si>
    <t xml:space="preserve">T.C. </t>
  </si>
  <si>
    <t>Retorno de inversión estimado (ROI)</t>
  </si>
  <si>
    <t>años</t>
  </si>
  <si>
    <t>Consumo nuevo</t>
  </si>
  <si>
    <r>
      <t xml:space="preserve">Cálculo de contraprestación: </t>
    </r>
    <r>
      <rPr>
        <b/>
        <i/>
        <sz val="16"/>
        <color rgb="FFC00000"/>
        <rFont val="Calibri"/>
        <family val="2"/>
        <scheme val="minor"/>
      </rPr>
      <t>No modificar</t>
    </r>
  </si>
  <si>
    <t xml:space="preserve">Panel solar </t>
  </si>
  <si>
    <t xml:space="preserve">Canadian solar </t>
  </si>
  <si>
    <t>620 W</t>
  </si>
  <si>
    <t>Cantidad: 9</t>
  </si>
  <si>
    <t>Inversor</t>
  </si>
  <si>
    <t>Marca: Growatt</t>
  </si>
  <si>
    <t>Potencia: 5 kW</t>
  </si>
  <si>
    <t>Cantidad: 1</t>
  </si>
  <si>
    <t>HSP (23°)</t>
  </si>
  <si>
    <t>0.85-1.1</t>
  </si>
  <si>
    <t>0.75-1.1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</si>
</sst>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212529"/>
      <name val="Arial"/>
      <family val="2"/>
    </font>
    <font>
      <sz val="11"/>
      <color rgb="FF212529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ptos"/>
      <family val="2"/>
    </font>
    <font>
      <b/>
      <sz val="11"/>
      <color rgb="FF0070C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theme="0" tint="-0.499984740745262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indexed="64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double">
        <color indexed="64"/>
      </left>
      <right style="thin">
        <color theme="0" tint="-0.499984740745262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002060"/>
      </left>
      <right style="thin">
        <color theme="0"/>
      </right>
      <top style="thin">
        <color rgb="FF00206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2060"/>
      </top>
      <bottom style="thin">
        <color theme="0"/>
      </bottom>
      <diagonal/>
    </border>
    <border>
      <left style="thin">
        <color theme="0"/>
      </left>
      <right style="thin">
        <color rgb="FF002060"/>
      </right>
      <top style="thin">
        <color rgb="FF002060"/>
      </top>
      <bottom style="thin">
        <color theme="0"/>
      </bottom>
      <diagonal/>
    </border>
    <border>
      <left style="thin">
        <color rgb="FF00206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2060"/>
      </right>
      <top style="thin">
        <color theme="0"/>
      </top>
      <bottom style="thin">
        <color theme="0"/>
      </bottom>
      <diagonal/>
    </border>
    <border>
      <left style="thin">
        <color rgb="FF002060"/>
      </left>
      <right style="thin">
        <color theme="0"/>
      </right>
      <top style="thin">
        <color theme="0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2060"/>
      </bottom>
      <diagonal/>
    </border>
    <border>
      <left style="double">
        <color theme="0" tint="-0.34998626667073579"/>
      </left>
      <right style="thin">
        <color theme="0"/>
      </right>
      <top style="double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uble">
        <color theme="0" tint="-0.34998626667073579"/>
      </top>
      <bottom style="thin">
        <color theme="0"/>
      </bottom>
      <diagonal/>
    </border>
    <border>
      <left style="thin">
        <color theme="0"/>
      </left>
      <right style="double">
        <color theme="0" tint="-0.34998626667073579"/>
      </right>
      <top style="double">
        <color theme="0" tint="-0.34998626667073579"/>
      </top>
      <bottom style="thin">
        <color theme="0"/>
      </bottom>
      <diagonal/>
    </border>
    <border>
      <left style="double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theme="0" tint="-0.34998626667073579"/>
      </right>
      <top style="thin">
        <color theme="0"/>
      </top>
      <bottom style="thin">
        <color theme="0"/>
      </bottom>
      <diagonal/>
    </border>
    <border>
      <left style="double">
        <color theme="0" tint="-0.34998626667073579"/>
      </left>
      <right style="thin">
        <color theme="0"/>
      </right>
      <top style="thin">
        <color theme="0"/>
      </top>
      <bottom style="double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 tint="-0.34998626667073579"/>
      </bottom>
      <diagonal/>
    </border>
    <border>
      <left style="thin">
        <color theme="0"/>
      </left>
      <right style="double">
        <color theme="0" tint="-0.34998626667073579"/>
      </right>
      <top style="thin">
        <color theme="0"/>
      </top>
      <bottom style="double">
        <color theme="0" tint="-0.34998626667073579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rgb="FF00206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3" xfId="0" applyBorder="1" applyAlignment="1">
      <alignment horizontal="center"/>
    </xf>
    <xf numFmtId="44" fontId="0" fillId="0" borderId="0" xfId="0" applyNumberFormat="1"/>
    <xf numFmtId="17" fontId="0" fillId="0" borderId="0" xfId="0" applyNumberFormat="1"/>
    <xf numFmtId="0" fontId="6" fillId="8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0" fillId="0" borderId="9" xfId="0" applyBorder="1"/>
    <xf numFmtId="0" fontId="0" fillId="10" borderId="0" xfId="0" applyFill="1"/>
    <xf numFmtId="44" fontId="0" fillId="10" borderId="0" xfId="0" applyNumberFormat="1" applyFill="1"/>
    <xf numFmtId="0" fontId="0" fillId="11" borderId="6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2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5" xfId="0" applyFill="1" applyBorder="1" applyAlignment="1">
      <alignment horizontal="center"/>
    </xf>
    <xf numFmtId="0" fontId="0" fillId="4" borderId="0" xfId="0" applyFill="1"/>
    <xf numFmtId="0" fontId="0" fillId="4" borderId="10" xfId="0" applyFill="1" applyBorder="1"/>
    <xf numFmtId="17" fontId="0" fillId="4" borderId="0" xfId="0" applyNumberFormat="1" applyFill="1" applyAlignment="1">
      <alignment horizontal="center"/>
    </xf>
    <xf numFmtId="0" fontId="0" fillId="0" borderId="11" xfId="0" applyBorder="1"/>
    <xf numFmtId="0" fontId="0" fillId="9" borderId="11" xfId="0" applyFill="1" applyBorder="1"/>
    <xf numFmtId="0" fontId="0" fillId="10" borderId="11" xfId="0" applyFill="1" applyBorder="1"/>
    <xf numFmtId="0" fontId="0" fillId="3" borderId="11" xfId="0" applyFill="1" applyBorder="1"/>
    <xf numFmtId="0" fontId="0" fillId="0" borderId="11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0" borderId="11" xfId="1" applyFont="1" applyBorder="1"/>
    <xf numFmtId="44" fontId="0" fillId="9" borderId="11" xfId="0" applyNumberFormat="1" applyFill="1" applyBorder="1"/>
    <xf numFmtId="17" fontId="0" fillId="4" borderId="11" xfId="0" applyNumberFormat="1" applyFill="1" applyBorder="1" applyAlignment="1">
      <alignment horizontal="center"/>
    </xf>
    <xf numFmtId="17" fontId="0" fillId="10" borderId="11" xfId="0" applyNumberFormat="1" applyFill="1" applyBorder="1" applyAlignment="1">
      <alignment horizontal="center"/>
    </xf>
    <xf numFmtId="44" fontId="0" fillId="10" borderId="11" xfId="1" applyFont="1" applyFill="1" applyBorder="1" applyAlignment="1">
      <alignment horizontal="center"/>
    </xf>
    <xf numFmtId="44" fontId="0" fillId="10" borderId="11" xfId="1" applyFont="1" applyFill="1" applyBorder="1"/>
    <xf numFmtId="0" fontId="0" fillId="6" borderId="0" xfId="0" applyFill="1"/>
    <xf numFmtId="0" fontId="0" fillId="6" borderId="12" xfId="0" applyFill="1" applyBorder="1"/>
    <xf numFmtId="0" fontId="8" fillId="10" borderId="13" xfId="0" applyFont="1" applyFill="1" applyBorder="1"/>
    <xf numFmtId="0" fontId="0" fillId="10" borderId="13" xfId="0" applyFill="1" applyBorder="1"/>
    <xf numFmtId="0" fontId="0" fillId="10" borderId="14" xfId="0" applyFill="1" applyBorder="1"/>
    <xf numFmtId="0" fontId="0" fillId="0" borderId="15" xfId="0" applyBorder="1"/>
    <xf numFmtId="0" fontId="0" fillId="10" borderId="16" xfId="0" applyFill="1" applyBorder="1"/>
    <xf numFmtId="0" fontId="0" fillId="10" borderId="17" xfId="0" applyFill="1" applyBorder="1"/>
    <xf numFmtId="0" fontId="0" fillId="6" borderId="11" xfId="0" applyFill="1" applyBorder="1"/>
    <xf numFmtId="0" fontId="0" fillId="13" borderId="11" xfId="0" applyFill="1" applyBorder="1"/>
    <xf numFmtId="17" fontId="0" fillId="0" borderId="11" xfId="0" applyNumberFormat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7" borderId="11" xfId="0" applyFill="1" applyBorder="1"/>
    <xf numFmtId="0" fontId="0" fillId="10" borderId="15" xfId="0" applyFill="1" applyBorder="1"/>
    <xf numFmtId="0" fontId="8" fillId="10" borderId="12" xfId="0" applyFont="1" applyFill="1" applyBorder="1"/>
    <xf numFmtId="0" fontId="8" fillId="10" borderId="15" xfId="0" applyFont="1" applyFill="1" applyBorder="1"/>
    <xf numFmtId="17" fontId="0" fillId="10" borderId="18" xfId="0" applyNumberFormat="1" applyFill="1" applyBorder="1" applyAlignment="1">
      <alignment horizontal="center"/>
    </xf>
    <xf numFmtId="0" fontId="0" fillId="4" borderId="11" xfId="0" applyFill="1" applyBorder="1"/>
    <xf numFmtId="0" fontId="0" fillId="0" borderId="19" xfId="0" applyBorder="1"/>
    <xf numFmtId="0" fontId="0" fillId="10" borderId="22" xfId="0" applyFill="1" applyBorder="1"/>
    <xf numFmtId="0" fontId="0" fillId="0" borderId="23" xfId="0" applyBorder="1"/>
    <xf numFmtId="0" fontId="0" fillId="6" borderId="24" xfId="0" applyFill="1" applyBorder="1" applyAlignment="1">
      <alignment wrapText="1"/>
    </xf>
    <xf numFmtId="0" fontId="0" fillId="0" borderId="25" xfId="0" applyBorder="1"/>
    <xf numFmtId="0" fontId="0" fillId="6" borderId="23" xfId="0" applyFill="1" applyBorder="1"/>
    <xf numFmtId="0" fontId="0" fillId="8" borderId="11" xfId="0" applyFill="1" applyBorder="1"/>
    <xf numFmtId="0" fontId="0" fillId="6" borderId="11" xfId="0" applyFill="1" applyBorder="1" applyAlignment="1">
      <alignment horizontal="center"/>
    </xf>
    <xf numFmtId="17" fontId="0" fillId="6" borderId="11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44" fontId="0" fillId="4" borderId="0" xfId="0" applyNumberFormat="1" applyFill="1"/>
    <xf numFmtId="0" fontId="0" fillId="0" borderId="19" xfId="0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2" borderId="26" xfId="0" applyFill="1" applyBorder="1"/>
    <xf numFmtId="0" fontId="0" fillId="3" borderId="27" xfId="0" applyFill="1" applyBorder="1"/>
    <xf numFmtId="0" fontId="0" fillId="0" borderId="28" xfId="0" applyBorder="1" applyAlignment="1">
      <alignment horizontal="center"/>
    </xf>
    <xf numFmtId="0" fontId="0" fillId="3" borderId="29" xfId="0" applyFill="1" applyBorder="1"/>
    <xf numFmtId="0" fontId="0" fillId="0" borderId="28" xfId="0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0" borderId="11" xfId="0" applyBorder="1" applyAlignment="1">
      <alignment horizontal="left"/>
    </xf>
    <xf numFmtId="0" fontId="0" fillId="6" borderId="18" xfId="0" applyFill="1" applyBorder="1"/>
    <xf numFmtId="0" fontId="0" fillId="6" borderId="30" xfId="0" applyFill="1" applyBorder="1"/>
    <xf numFmtId="0" fontId="0" fillId="6" borderId="22" xfId="0" applyFill="1" applyBorder="1"/>
    <xf numFmtId="0" fontId="0" fillId="6" borderId="31" xfId="0" applyFill="1" applyBorder="1"/>
    <xf numFmtId="0" fontId="0" fillId="3" borderId="2" xfId="0" applyFill="1" applyBorder="1" applyAlignment="1">
      <alignment horizontal="left"/>
    </xf>
    <xf numFmtId="0" fontId="9" fillId="10" borderId="18" xfId="0" applyFont="1" applyFill="1" applyBorder="1"/>
    <xf numFmtId="0" fontId="0" fillId="10" borderId="30" xfId="0" applyFill="1" applyBorder="1"/>
    <xf numFmtId="0" fontId="9" fillId="10" borderId="30" xfId="0" applyFont="1" applyFill="1" applyBorder="1"/>
    <xf numFmtId="0" fontId="0" fillId="10" borderId="32" xfId="0" applyFill="1" applyBorder="1"/>
    <xf numFmtId="0" fontId="0" fillId="10" borderId="31" xfId="0" applyFill="1" applyBorder="1"/>
    <xf numFmtId="0" fontId="9" fillId="10" borderId="32" xfId="0" applyFont="1" applyFill="1" applyBorder="1"/>
    <xf numFmtId="0" fontId="9" fillId="10" borderId="12" xfId="0" applyFont="1" applyFill="1" applyBorder="1"/>
    <xf numFmtId="0" fontId="9" fillId="10" borderId="14" xfId="0" applyFont="1" applyFill="1" applyBorder="1"/>
    <xf numFmtId="0" fontId="9" fillId="10" borderId="31" xfId="0" applyFont="1" applyFill="1" applyBorder="1"/>
    <xf numFmtId="0" fontId="10" fillId="10" borderId="15" xfId="0" applyFont="1" applyFill="1" applyBorder="1"/>
    <xf numFmtId="0" fontId="0" fillId="9" borderId="11" xfId="0" applyFill="1" applyBorder="1" applyAlignment="1">
      <alignment horizontal="left"/>
    </xf>
    <xf numFmtId="0" fontId="0" fillId="0" borderId="10" xfId="0" applyBorder="1" applyAlignment="1">
      <alignment wrapText="1"/>
    </xf>
    <xf numFmtId="0" fontId="2" fillId="2" borderId="1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8" fillId="10" borderId="11" xfId="0" applyFont="1" applyFill="1" applyBorder="1"/>
    <xf numFmtId="0" fontId="11" fillId="0" borderId="0" xfId="0" applyFont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44" fontId="11" fillId="4" borderId="0" xfId="0" applyNumberFormat="1" applyFont="1" applyFill="1" applyAlignment="1">
      <alignment wrapText="1"/>
    </xf>
    <xf numFmtId="0" fontId="10" fillId="10" borderId="19" xfId="0" applyFont="1" applyFill="1" applyBorder="1"/>
    <xf numFmtId="0" fontId="10" fillId="10" borderId="20" xfId="0" applyFont="1" applyFill="1" applyBorder="1"/>
    <xf numFmtId="0" fontId="10" fillId="10" borderId="20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0" fillId="0" borderId="18" xfId="0" applyBorder="1"/>
    <xf numFmtId="44" fontId="0" fillId="4" borderId="10" xfId="0" applyNumberFormat="1" applyFill="1" applyBorder="1"/>
    <xf numFmtId="0" fontId="8" fillId="4" borderId="7" xfId="0" applyFont="1" applyFill="1" applyBorder="1" applyAlignment="1">
      <alignment wrapText="1"/>
    </xf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44" fontId="8" fillId="4" borderId="7" xfId="0" applyNumberFormat="1" applyFont="1" applyFill="1" applyBorder="1" applyAlignment="1">
      <alignment wrapText="1"/>
    </xf>
    <xf numFmtId="0" fontId="8" fillId="9" borderId="19" xfId="0" applyFont="1" applyFill="1" applyBorder="1"/>
    <xf numFmtId="0" fontId="0" fillId="9" borderId="20" xfId="0" applyFill="1" applyBorder="1"/>
    <xf numFmtId="0" fontId="0" fillId="9" borderId="21" xfId="0" applyFill="1" applyBorder="1"/>
    <xf numFmtId="0" fontId="0" fillId="0" borderId="21" xfId="0" applyBorder="1"/>
    <xf numFmtId="0" fontId="0" fillId="3" borderId="22" xfId="0" applyFill="1" applyBorder="1"/>
    <xf numFmtId="0" fontId="0" fillId="12" borderId="0" xfId="0" applyFill="1"/>
    <xf numFmtId="0" fontId="0" fillId="9" borderId="8" xfId="0" applyFill="1" applyBorder="1"/>
    <xf numFmtId="0" fontId="0" fillId="9" borderId="37" xfId="0" applyFill="1" applyBorder="1"/>
    <xf numFmtId="0" fontId="0" fillId="9" borderId="38" xfId="0" applyFill="1" applyBorder="1"/>
    <xf numFmtId="17" fontId="0" fillId="0" borderId="39" xfId="0" applyNumberFormat="1" applyBorder="1" applyAlignment="1">
      <alignment horizontal="center"/>
    </xf>
    <xf numFmtId="0" fontId="0" fillId="0" borderId="40" xfId="0" applyBorder="1"/>
    <xf numFmtId="17" fontId="0" fillId="10" borderId="39" xfId="0" applyNumberFormat="1" applyFill="1" applyBorder="1" applyAlignment="1">
      <alignment horizontal="center"/>
    </xf>
    <xf numFmtId="17" fontId="0" fillId="4" borderId="39" xfId="0" applyNumberFormat="1" applyFill="1" applyBorder="1" applyAlignment="1">
      <alignment horizontal="center"/>
    </xf>
    <xf numFmtId="17" fontId="0" fillId="10" borderId="41" xfId="0" applyNumberFormat="1" applyFill="1" applyBorder="1" applyAlignment="1">
      <alignment horizontal="center"/>
    </xf>
    <xf numFmtId="0" fontId="0" fillId="0" borderId="45" xfId="0" applyBorder="1"/>
    <xf numFmtId="0" fontId="0" fillId="9" borderId="46" xfId="0" applyFill="1" applyBorder="1"/>
    <xf numFmtId="0" fontId="0" fillId="9" borderId="36" xfId="0" applyFill="1" applyBorder="1"/>
    <xf numFmtId="0" fontId="0" fillId="9" borderId="42" xfId="0" applyFill="1" applyBorder="1"/>
    <xf numFmtId="0" fontId="0" fillId="9" borderId="0" xfId="0" applyFill="1"/>
    <xf numFmtId="0" fontId="0" fillId="9" borderId="43" xfId="0" applyFill="1" applyBorder="1"/>
    <xf numFmtId="0" fontId="0" fillId="9" borderId="44" xfId="0" applyFill="1" applyBorder="1"/>
    <xf numFmtId="0" fontId="0" fillId="9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/>
    <xf numFmtId="0" fontId="13" fillId="5" borderId="49" xfId="0" applyFont="1" applyFill="1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Border="1"/>
    <xf numFmtId="17" fontId="0" fillId="0" borderId="2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1" xfId="0" applyBorder="1"/>
    <xf numFmtId="0" fontId="0" fillId="10" borderId="51" xfId="0" applyFill="1" applyBorder="1"/>
    <xf numFmtId="0" fontId="0" fillId="14" borderId="11" xfId="0" applyFill="1" applyBorder="1"/>
    <xf numFmtId="44" fontId="0" fillId="0" borderId="9" xfId="0" applyNumberFormat="1" applyBorder="1"/>
    <xf numFmtId="0" fontId="0" fillId="4" borderId="55" xfId="0" applyFill="1" applyBorder="1"/>
    <xf numFmtId="0" fontId="8" fillId="4" borderId="55" xfId="0" applyFont="1" applyFill="1" applyBorder="1"/>
    <xf numFmtId="0" fontId="0" fillId="4" borderId="56" xfId="0" applyFill="1" applyBorder="1"/>
    <xf numFmtId="0" fontId="0" fillId="0" borderId="9" xfId="0" applyBorder="1" applyAlignment="1">
      <alignment horizontal="right"/>
    </xf>
    <xf numFmtId="44" fontId="0" fillId="0" borderId="9" xfId="1" applyFont="1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7" fillId="0" borderId="62" xfId="0" applyFont="1" applyBorder="1"/>
    <xf numFmtId="0" fontId="0" fillId="0" borderId="63" xfId="0" applyBorder="1"/>
    <xf numFmtId="44" fontId="7" fillId="0" borderId="63" xfId="0" applyNumberFormat="1" applyFont="1" applyBorder="1"/>
    <xf numFmtId="0" fontId="0" fillId="10" borderId="1" xfId="0" applyFill="1" applyBorder="1"/>
    <xf numFmtId="0" fontId="0" fillId="9" borderId="54" xfId="0" applyFill="1" applyBorder="1" applyAlignment="1">
      <alignment horizontal="center"/>
    </xf>
    <xf numFmtId="0" fontId="0" fillId="9" borderId="64" xfId="0" applyFill="1" applyBorder="1"/>
    <xf numFmtId="0" fontId="0" fillId="9" borderId="65" xfId="0" applyFill="1" applyBorder="1"/>
    <xf numFmtId="0" fontId="0" fillId="0" borderId="65" xfId="0" applyBorder="1"/>
    <xf numFmtId="0" fontId="0" fillId="9" borderId="66" xfId="0" applyFill="1" applyBorder="1"/>
    <xf numFmtId="0" fontId="0" fillId="0" borderId="67" xfId="0" applyBorder="1"/>
    <xf numFmtId="0" fontId="0" fillId="0" borderId="68" xfId="0" applyBorder="1" applyAlignment="1">
      <alignment horizontal="center"/>
    </xf>
    <xf numFmtId="0" fontId="0" fillId="0" borderId="68" xfId="0" applyBorder="1"/>
    <xf numFmtId="44" fontId="0" fillId="0" borderId="68" xfId="0" applyNumberFormat="1" applyBorder="1"/>
    <xf numFmtId="0" fontId="0" fillId="0" borderId="69" xfId="0" applyBorder="1"/>
    <xf numFmtId="44" fontId="0" fillId="0" borderId="70" xfId="0" applyNumberFormat="1" applyBorder="1"/>
    <xf numFmtId="0" fontId="0" fillId="0" borderId="70" xfId="0" applyBorder="1"/>
    <xf numFmtId="0" fontId="0" fillId="0" borderId="71" xfId="0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32" xfId="0" applyFill="1" applyBorder="1"/>
    <xf numFmtId="0" fontId="0" fillId="4" borderId="31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15" fillId="4" borderId="0" xfId="0" applyFont="1" applyFill="1"/>
    <xf numFmtId="0" fontId="0" fillId="3" borderId="0" xfId="0" applyFill="1"/>
    <xf numFmtId="0" fontId="0" fillId="0" borderId="73" xfId="0" applyBorder="1"/>
    <xf numFmtId="0" fontId="0" fillId="0" borderId="72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Gráfica de ahorro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Con paneles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 FV'!$C$40:$C$51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FV'!$J$40:$J$51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756.89</c:v>
                </c:pt>
                <c:pt idx="6">
                  <c:v>3084.5400000000004</c:v>
                </c:pt>
                <c:pt idx="7">
                  <c:v>4400.9800000000005</c:v>
                </c:pt>
                <c:pt idx="8">
                  <c:v>3526.3300000000004</c:v>
                </c:pt>
                <c:pt idx="9">
                  <c:v>3254.11</c:v>
                </c:pt>
                <c:pt idx="10">
                  <c:v>4170.1500000000005</c:v>
                </c:pt>
                <c:pt idx="11">
                  <c:v>476.7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6-46F3-8286-D2C89DF8BC7C}"/>
            </c:ext>
          </c:extLst>
        </c:ser>
        <c:ser>
          <c:idx val="1"/>
          <c:order val="1"/>
          <c:tx>
            <c:v>Sin paneles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'Desglose energía'!$J$20:$J$31</c:f>
              <c:numCache>
                <c:formatCode>_("$"* #,##0.00_);_("$"* \(#,##0.00\);_("$"* "-"??_);_(@_)</c:formatCode>
                <c:ptCount val="12"/>
                <c:pt idx="0">
                  <c:v>822.81467999999995</c:v>
                </c:pt>
                <c:pt idx="1">
                  <c:v>249.60300000000001</c:v>
                </c:pt>
                <c:pt idx="2">
                  <c:v>261.57419999999996</c:v>
                </c:pt>
                <c:pt idx="3">
                  <c:v>498.59699999999998</c:v>
                </c:pt>
                <c:pt idx="4">
                  <c:v>675.03879999999992</c:v>
                </c:pt>
                <c:pt idx="5">
                  <c:v>4168.924</c:v>
                </c:pt>
                <c:pt idx="6">
                  <c:v>4525.9255999999996</c:v>
                </c:pt>
                <c:pt idx="7">
                  <c:v>5864.681599999999</c:v>
                </c:pt>
                <c:pt idx="8">
                  <c:v>4887.3897199999992</c:v>
                </c:pt>
                <c:pt idx="9">
                  <c:v>4838.3019999999997</c:v>
                </c:pt>
                <c:pt idx="10">
                  <c:v>5677.3172400000003</c:v>
                </c:pt>
                <c:pt idx="11">
                  <c:v>1900.6193999999998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6-46F3-8286-D2C89DF8B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527808"/>
        <c:axId val="336536008"/>
      </c:lineChart>
      <c:catAx>
        <c:axId val="33652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536008"/>
        <c:crosses val="autoZero"/>
        <c:auto val="1"/>
        <c:lblAlgn val="ctr"/>
        <c:lblOffset val="100"/>
        <c:noMultiLvlLbl val="1"/>
      </c:catAx>
      <c:valAx>
        <c:axId val="3365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Gasto mensual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5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 flip="none" rotWithShape="1">
        <a:gsLst>
          <a:gs pos="0">
            <a:schemeClr val="accent1">
              <a:lumMod val="89000"/>
            </a:schemeClr>
          </a:gs>
          <a:gs pos="23000">
            <a:schemeClr val="accent1">
              <a:lumMod val="89000"/>
            </a:schemeClr>
          </a:gs>
          <a:gs pos="69000">
            <a:schemeClr val="accent1">
              <a:lumMod val="75000"/>
            </a:schemeClr>
          </a:gs>
          <a:gs pos="97000">
            <a:schemeClr val="accent1">
              <a:lumMod val="70000"/>
            </a:schemeClr>
          </a:gs>
        </a:gsLst>
        <a:path path="circle">
          <a:fillToRect l="50000" t="50000" r="50000" b="50000"/>
        </a:path>
        <a:tileRect/>
      </a:gra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Gráfica de ahorro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Con paneles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 FV'!$C$40:$C$51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'Con FV'!$E$6:$E$17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561</c:v>
                </c:pt>
                <c:pt idx="6">
                  <c:v>1107</c:v>
                </c:pt>
                <c:pt idx="7">
                  <c:v>1402</c:v>
                </c:pt>
                <c:pt idx="8">
                  <c:v>1206</c:v>
                </c:pt>
                <c:pt idx="9">
                  <c:v>1145</c:v>
                </c:pt>
                <c:pt idx="10">
                  <c:v>1088</c:v>
                </c:pt>
                <c:pt idx="11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B-4D59-9FC5-9054F35278D3}"/>
            </c:ext>
          </c:extLst>
        </c:ser>
        <c:ser>
          <c:idx val="1"/>
          <c:order val="1"/>
          <c:tx>
            <c:v>Sin paneles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'Desglose energía'!$E$4:$E$15</c:f>
              <c:numCache>
                <c:formatCode>General</c:formatCode>
                <c:ptCount val="12"/>
                <c:pt idx="0">
                  <c:v>324</c:v>
                </c:pt>
                <c:pt idx="1">
                  <c:v>180</c:v>
                </c:pt>
                <c:pt idx="2">
                  <c:v>188</c:v>
                </c:pt>
                <c:pt idx="3">
                  <c:v>250</c:v>
                </c:pt>
                <c:pt idx="4">
                  <c:v>512</c:v>
                </c:pt>
                <c:pt idx="5">
                  <c:v>1350</c:v>
                </c:pt>
                <c:pt idx="6">
                  <c:v>1430</c:v>
                </c:pt>
                <c:pt idx="7">
                  <c:v>1730</c:v>
                </c:pt>
                <c:pt idx="8">
                  <c:v>1511</c:v>
                </c:pt>
                <c:pt idx="9">
                  <c:v>1500</c:v>
                </c:pt>
                <c:pt idx="10">
                  <c:v>1432</c:v>
                </c:pt>
                <c:pt idx="11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B-4D59-9FC5-9054F352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527808"/>
        <c:axId val="336536008"/>
      </c:lineChart>
      <c:catAx>
        <c:axId val="33652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536008"/>
        <c:crosses val="autoZero"/>
        <c:auto val="1"/>
        <c:lblAlgn val="ctr"/>
        <c:lblOffset val="100"/>
        <c:noMultiLvlLbl val="1"/>
      </c:catAx>
      <c:valAx>
        <c:axId val="3365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 Consumo anua(kWh)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5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 flip="none" rotWithShape="1">
        <a:gsLst>
          <a:gs pos="0">
            <a:schemeClr val="accent1">
              <a:lumMod val="89000"/>
            </a:schemeClr>
          </a:gs>
          <a:gs pos="23000">
            <a:schemeClr val="accent1">
              <a:lumMod val="89000"/>
            </a:schemeClr>
          </a:gs>
          <a:gs pos="69000">
            <a:schemeClr val="accent1">
              <a:lumMod val="75000"/>
            </a:schemeClr>
          </a:gs>
          <a:gs pos="97000">
            <a:schemeClr val="accent1">
              <a:lumMod val="70000"/>
            </a:schemeClr>
          </a:gs>
        </a:gsLst>
        <a:path path="circle">
          <a:fillToRect l="50000" t="50000" r="50000" b="50000"/>
        </a:path>
        <a:tileRect/>
      </a:gra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1603576</xdr:colOff>
      <xdr:row>48</xdr:row>
      <xdr:rowOff>36172</xdr:rowOff>
    </xdr:from>
    <xdr:to>
      <xdr:col>15</xdr:col>
      <xdr:colOff>145064</xdr:colOff>
      <xdr:row>50</xdr:row>
      <xdr:rowOff>60285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12E447-AEC8-A774-6E61-B81EB38C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070" y="9440602"/>
          <a:ext cx="14336108" cy="506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13</xdr:row>
      <xdr:rowOff>165652</xdr:rowOff>
    </xdr:from>
    <xdr:to>
      <xdr:col>15</xdr:col>
      <xdr:colOff>1537253</xdr:colOff>
      <xdr:row>27</xdr:row>
      <xdr:rowOff>137352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22473C8-B2B5-40CB-B3E0-F9AD1D809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299891</xdr:colOff>
      <xdr:row>30</xdr:row>
      <xdr:rowOff>119528</xdr:rowOff>
    </xdr:from>
    <xdr:to>
      <xdr:col>15</xdr:col>
      <xdr:colOff>1563511</xdr:colOff>
      <xdr:row>45</xdr:row>
      <xdr:rowOff>8815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0A9F7A-B93C-4786-ABC0-0BA18798C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572915</xdr:colOff>
      <xdr:row>3</xdr:row>
      <xdr:rowOff>94036</xdr:rowOff>
    </xdr:from>
    <xdr:to>
      <xdr:col>11</xdr:col>
      <xdr:colOff>216473</xdr:colOff>
      <xdr:row>23</xdr:row>
      <xdr:rowOff>145914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4E871A-7262-746B-81FC-8CE87A469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8637" y="643833"/>
          <a:ext cx="6569077" cy="37198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487680</xdr:colOff>
      <xdr:row>3</xdr:row>
      <xdr:rowOff>60960</xdr:rowOff>
    </xdr:from>
    <xdr:to>
      <xdr:col>10</xdr:col>
      <xdr:colOff>388620</xdr:colOff>
      <xdr:row>15</xdr:row>
      <xdr:rowOff>144780</xdr:rowOff>
    </xdr:to>
    <xdr:pic>
      <xdr:nvPicPr>
        <xdr:cNvPr id="3" name="Imagen 2" descr="Panel Solar Canadian Solar 620W - Distribucion Solar">
          <a:extLst>
            <a:ext uri="{FF2B5EF4-FFF2-40B4-BE49-F238E27FC236}">
              <a16:creationId xmlns:a16="http://schemas.microsoft.com/office/drawing/2014/main" id="{690F9F96-476E-1568-3C98-438FFC86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09600"/>
          <a:ext cx="2278380" cy="2278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662940</xdr:colOff>
      <xdr:row>15</xdr:row>
      <xdr:rowOff>129540</xdr:rowOff>
    </xdr:from>
    <xdr:to>
      <xdr:col>10</xdr:col>
      <xdr:colOff>198120</xdr:colOff>
      <xdr:row>26</xdr:row>
      <xdr:rowOff>30480</xdr:rowOff>
    </xdr:to>
    <xdr:pic>
      <xdr:nvPicPr>
        <xdr:cNvPr id="4" name="Imagen 3" descr="El inversor Growatt 5kw 230 V monofásico de Grid atado inversor Min ...">
          <a:extLst>
            <a:ext uri="{FF2B5EF4-FFF2-40B4-BE49-F238E27FC236}">
              <a16:creationId xmlns:a16="http://schemas.microsoft.com/office/drawing/2014/main" id="{FAB38E54-E9A6-15D0-C90B-1D38B58E0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2872740"/>
          <a:ext cx="1912620" cy="191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75E6-8194-43A3-A58B-B4F73B34BE91}">
  <dimension ref="B4:M54"/>
  <sheetViews>
    <sheetView topLeftCell="A22" zoomScale="79" zoomScaleNormal="100" workbookViewId="0">
      <selection activeCell="K44" sqref="K44"/>
    </sheetView>
  </sheetViews>
  <sheetFormatPr baseColWidth="10" defaultRowHeight="15" x14ac:dyDescent="0.25"/>
  <cols>
    <col min="2" max="2" width="37.85546875" customWidth="1"/>
    <col min="3" max="3" width="27.85546875" customWidth="1"/>
    <col min="4" max="4" width="11.5703125" customWidth="1"/>
    <col min="5" max="5" width="17.28515625" customWidth="1"/>
    <col min="6" max="6" width="16.140625" customWidth="1"/>
    <col min="7" max="7" width="34.28515625" customWidth="1"/>
    <col min="8" max="8" width="19" customWidth="1"/>
    <col min="9" max="9" width="20.28515625" customWidth="1"/>
    <col min="10" max="10" width="18.7109375" customWidth="1"/>
    <col min="11" max="11" width="20.7109375" customWidth="1"/>
    <col min="12" max="12" width="16.85546875" customWidth="1"/>
  </cols>
  <sheetData>
    <row r="4" spans="4:13" x14ac:dyDescent="0.25">
      <c r="D4" s="102"/>
      <c r="E4" s="102"/>
      <c r="F4" s="102"/>
      <c r="G4" s="102"/>
      <c r="H4" s="102"/>
      <c r="I4" s="102"/>
      <c r="J4" s="102"/>
      <c r="K4" s="102"/>
      <c r="L4" s="102"/>
      <c r="M4" s="102"/>
    </row>
    <row r="5" spans="4:13" x14ac:dyDescent="0.25"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4:13" x14ac:dyDescent="0.25">
      <c r="D6" s="102"/>
      <c r="E6" s="103"/>
      <c r="F6" s="104"/>
      <c r="G6" s="105"/>
      <c r="H6" s="102"/>
      <c r="I6" s="103"/>
      <c r="J6" s="104"/>
      <c r="K6" s="105"/>
      <c r="L6" s="102"/>
      <c r="M6" s="102"/>
    </row>
    <row r="7" spans="4:13" x14ac:dyDescent="0.25">
      <c r="D7" s="102"/>
      <c r="E7" s="103"/>
      <c r="F7" s="104"/>
      <c r="G7" s="105"/>
      <c r="H7" s="102"/>
      <c r="I7" s="103"/>
      <c r="J7" s="104"/>
      <c r="K7" s="105"/>
      <c r="L7" s="102"/>
      <c r="M7" s="102"/>
    </row>
    <row r="8" spans="4:13" x14ac:dyDescent="0.25">
      <c r="D8" s="102"/>
      <c r="E8" s="103"/>
      <c r="F8" s="104"/>
      <c r="G8" s="105"/>
      <c r="H8" s="102"/>
      <c r="I8" s="103"/>
      <c r="J8" s="104"/>
      <c r="K8" s="105"/>
      <c r="L8" s="102"/>
      <c r="M8" s="102"/>
    </row>
    <row r="9" spans="4:13" x14ac:dyDescent="0.25">
      <c r="D9" s="102"/>
      <c r="E9" s="102"/>
      <c r="F9" s="102"/>
      <c r="G9" s="102"/>
      <c r="H9" s="102"/>
      <c r="I9" s="103"/>
      <c r="J9" s="104"/>
      <c r="K9" s="105"/>
      <c r="L9" s="102"/>
      <c r="M9" s="102"/>
    </row>
    <row r="10" spans="4:13" x14ac:dyDescent="0.25">
      <c r="D10" s="102"/>
      <c r="E10" s="102"/>
      <c r="F10" s="102"/>
      <c r="G10" s="102"/>
      <c r="H10" s="102"/>
      <c r="I10" s="102"/>
      <c r="J10" s="102"/>
      <c r="K10" s="102"/>
      <c r="L10" s="102"/>
      <c r="M10" s="102"/>
    </row>
    <row r="11" spans="4:13" x14ac:dyDescent="0.25">
      <c r="D11" s="102"/>
      <c r="E11" s="102"/>
      <c r="F11" s="102"/>
      <c r="G11" s="102"/>
      <c r="H11" s="102"/>
      <c r="I11" s="102"/>
      <c r="J11" s="102"/>
      <c r="K11" s="102"/>
      <c r="L11" s="102"/>
      <c r="M11" s="102"/>
    </row>
    <row r="13" spans="4:13" x14ac:dyDescent="0.25">
      <c r="D13" s="90">
        <v>1</v>
      </c>
      <c r="E13" s="18"/>
      <c r="F13" s="19" t="s">
        <v>63</v>
      </c>
      <c r="G13" s="14"/>
      <c r="I13" s="20"/>
      <c r="J13" s="23" t="s">
        <v>66</v>
      </c>
      <c r="K13" s="21"/>
      <c r="L13" s="22"/>
    </row>
    <row r="14" spans="4:13" x14ac:dyDescent="0.25">
      <c r="D14" s="15"/>
      <c r="E14" s="6" t="s">
        <v>64</v>
      </c>
      <c r="F14" s="6" t="s">
        <v>65</v>
      </c>
      <c r="G14" s="6" t="s">
        <v>67</v>
      </c>
      <c r="I14" s="1" t="s">
        <v>68</v>
      </c>
      <c r="J14" s="1" t="s">
        <v>69</v>
      </c>
      <c r="K14" s="1" t="s">
        <v>70</v>
      </c>
      <c r="L14" s="1" t="s">
        <v>67</v>
      </c>
    </row>
    <row r="15" spans="4:13" x14ac:dyDescent="0.25">
      <c r="D15" s="16"/>
      <c r="E15" s="3">
        <v>75</v>
      </c>
      <c r="F15" s="1">
        <v>65</v>
      </c>
      <c r="G15" s="1"/>
      <c r="I15" s="2">
        <v>75</v>
      </c>
      <c r="J15" s="2">
        <v>65</v>
      </c>
      <c r="K15" s="2">
        <v>0</v>
      </c>
      <c r="L15" s="2"/>
    </row>
    <row r="17" spans="4:12" x14ac:dyDescent="0.25">
      <c r="D17" s="17" t="s">
        <v>93</v>
      </c>
      <c r="E17" s="18"/>
      <c r="F17" s="19" t="s">
        <v>63</v>
      </c>
      <c r="G17" s="14"/>
      <c r="I17" s="20"/>
      <c r="J17" s="23" t="s">
        <v>66</v>
      </c>
      <c r="K17" s="21"/>
      <c r="L17" s="22"/>
    </row>
    <row r="18" spans="4:12" x14ac:dyDescent="0.25">
      <c r="D18" s="15">
        <v>2</v>
      </c>
      <c r="E18" s="6" t="s">
        <v>64</v>
      </c>
      <c r="F18" s="6" t="s">
        <v>65</v>
      </c>
      <c r="G18" s="6" t="s">
        <v>67</v>
      </c>
      <c r="I18" s="1" t="s">
        <v>68</v>
      </c>
      <c r="J18" s="1" t="s">
        <v>69</v>
      </c>
      <c r="K18" s="1" t="s">
        <v>70</v>
      </c>
      <c r="L18" s="1" t="s">
        <v>67</v>
      </c>
    </row>
    <row r="19" spans="4:12" x14ac:dyDescent="0.25">
      <c r="D19" s="16"/>
      <c r="E19" s="3">
        <v>75</v>
      </c>
      <c r="F19" s="1">
        <v>75</v>
      </c>
      <c r="G19" s="1"/>
      <c r="I19" s="2">
        <v>100</v>
      </c>
      <c r="J19" s="2">
        <v>50</v>
      </c>
      <c r="K19" s="2">
        <v>100</v>
      </c>
      <c r="L19" s="2"/>
    </row>
    <row r="21" spans="4:12" x14ac:dyDescent="0.25">
      <c r="D21" s="17" t="s">
        <v>94</v>
      </c>
      <c r="E21" s="18"/>
      <c r="F21" s="19" t="s">
        <v>63</v>
      </c>
      <c r="G21" s="14"/>
      <c r="I21" s="20"/>
      <c r="J21" s="23" t="s">
        <v>66</v>
      </c>
      <c r="K21" s="21"/>
      <c r="L21" s="22"/>
    </row>
    <row r="22" spans="4:12" x14ac:dyDescent="0.25">
      <c r="D22" s="15">
        <v>3</v>
      </c>
      <c r="E22" s="6" t="s">
        <v>64</v>
      </c>
      <c r="F22" s="6" t="s">
        <v>65</v>
      </c>
      <c r="G22" s="6" t="s">
        <v>67</v>
      </c>
      <c r="I22" s="1" t="s">
        <v>68</v>
      </c>
      <c r="J22" s="1" t="s">
        <v>69</v>
      </c>
      <c r="K22" s="1" t="s">
        <v>70</v>
      </c>
      <c r="L22" s="1" t="s">
        <v>67</v>
      </c>
    </row>
    <row r="23" spans="4:12" x14ac:dyDescent="0.25">
      <c r="D23" s="16"/>
      <c r="E23" s="3">
        <v>75</v>
      </c>
      <c r="F23" s="1">
        <v>100</v>
      </c>
      <c r="G23" s="1"/>
      <c r="I23" s="2">
        <v>125</v>
      </c>
      <c r="J23" s="2">
        <v>100</v>
      </c>
      <c r="K23" s="2">
        <v>0</v>
      </c>
      <c r="L23" s="2"/>
    </row>
    <row r="25" spans="4:12" x14ac:dyDescent="0.25">
      <c r="D25" s="17" t="s">
        <v>95</v>
      </c>
      <c r="E25" s="18"/>
      <c r="F25" s="19" t="s">
        <v>63</v>
      </c>
      <c r="G25" s="14"/>
      <c r="I25" s="20"/>
      <c r="J25" s="23" t="s">
        <v>66</v>
      </c>
      <c r="K25" s="21"/>
      <c r="L25" s="22"/>
    </row>
    <row r="26" spans="4:12" x14ac:dyDescent="0.25">
      <c r="D26" s="15">
        <v>4</v>
      </c>
      <c r="E26" s="6" t="s">
        <v>64</v>
      </c>
      <c r="F26" s="6" t="s">
        <v>65</v>
      </c>
      <c r="G26" s="6" t="s">
        <v>67</v>
      </c>
      <c r="I26" s="1" t="s">
        <v>68</v>
      </c>
      <c r="J26" s="1" t="s">
        <v>69</v>
      </c>
      <c r="K26" s="1" t="s">
        <v>70</v>
      </c>
      <c r="L26" s="1" t="s">
        <v>67</v>
      </c>
    </row>
    <row r="27" spans="4:12" x14ac:dyDescent="0.25">
      <c r="D27" s="16"/>
      <c r="E27" s="3">
        <v>75</v>
      </c>
      <c r="F27" s="1">
        <v>100</v>
      </c>
      <c r="G27" s="1"/>
      <c r="I27" s="2">
        <v>150</v>
      </c>
      <c r="J27" s="2">
        <v>150</v>
      </c>
      <c r="K27" s="2">
        <v>150</v>
      </c>
      <c r="L27" s="2"/>
    </row>
    <row r="29" spans="4:12" x14ac:dyDescent="0.25">
      <c r="D29" s="17" t="s">
        <v>96</v>
      </c>
      <c r="E29" s="18"/>
      <c r="F29" s="19" t="s">
        <v>63</v>
      </c>
      <c r="G29" s="14"/>
      <c r="I29" s="20"/>
      <c r="J29" s="23" t="s">
        <v>66</v>
      </c>
      <c r="K29" s="21"/>
      <c r="L29" s="22"/>
    </row>
    <row r="30" spans="4:12" x14ac:dyDescent="0.25">
      <c r="D30" s="15">
        <v>5</v>
      </c>
      <c r="E30" s="6" t="s">
        <v>64</v>
      </c>
      <c r="F30" s="6" t="s">
        <v>65</v>
      </c>
      <c r="G30" s="6" t="s">
        <v>67</v>
      </c>
      <c r="I30" s="1" t="s">
        <v>68</v>
      </c>
      <c r="J30" s="1" t="s">
        <v>69</v>
      </c>
      <c r="K30" s="1" t="s">
        <v>70</v>
      </c>
      <c r="L30" s="1" t="s">
        <v>67</v>
      </c>
    </row>
    <row r="31" spans="4:12" x14ac:dyDescent="0.25">
      <c r="D31" s="16"/>
      <c r="E31" s="3">
        <v>75</v>
      </c>
      <c r="F31" s="1">
        <v>125</v>
      </c>
      <c r="G31" s="1"/>
      <c r="I31" s="2">
        <v>175</v>
      </c>
      <c r="J31" s="2">
        <v>225</v>
      </c>
      <c r="K31" s="2">
        <v>200</v>
      </c>
      <c r="L31" s="2"/>
    </row>
    <row r="33" spans="2:13" x14ac:dyDescent="0.25">
      <c r="D33" s="17" t="s">
        <v>97</v>
      </c>
      <c r="E33" s="18"/>
      <c r="F33" s="19" t="s">
        <v>63</v>
      </c>
      <c r="G33" s="14"/>
      <c r="I33" s="20"/>
      <c r="J33" s="23" t="s">
        <v>66</v>
      </c>
      <c r="K33" s="21"/>
      <c r="L33" s="22"/>
    </row>
    <row r="34" spans="2:13" x14ac:dyDescent="0.25">
      <c r="D34" s="15">
        <v>6</v>
      </c>
      <c r="E34" s="6" t="s">
        <v>64</v>
      </c>
      <c r="F34" s="6" t="s">
        <v>65</v>
      </c>
      <c r="G34" s="6" t="s">
        <v>67</v>
      </c>
      <c r="I34" s="1" t="s">
        <v>68</v>
      </c>
      <c r="J34" s="1" t="s">
        <v>69</v>
      </c>
      <c r="K34" s="1" t="s">
        <v>70</v>
      </c>
      <c r="L34" s="1" t="s">
        <v>67</v>
      </c>
    </row>
    <row r="35" spans="2:13" x14ac:dyDescent="0.25">
      <c r="D35" s="16"/>
      <c r="E35" s="3">
        <v>75</v>
      </c>
      <c r="F35" s="1">
        <v>125</v>
      </c>
      <c r="G35" s="1"/>
      <c r="I35" s="2">
        <v>300</v>
      </c>
      <c r="J35" s="2">
        <v>450</v>
      </c>
      <c r="K35" s="2">
        <v>150</v>
      </c>
      <c r="L35" s="2"/>
    </row>
    <row r="37" spans="2:13" x14ac:dyDescent="0.25">
      <c r="D37" s="17" t="s">
        <v>98</v>
      </c>
      <c r="E37" s="18"/>
      <c r="F37" s="19" t="s">
        <v>63</v>
      </c>
      <c r="G37" s="14"/>
      <c r="I37" s="20"/>
      <c r="J37" s="23" t="s">
        <v>66</v>
      </c>
      <c r="K37" s="21"/>
      <c r="L37" s="22"/>
    </row>
    <row r="38" spans="2:13" x14ac:dyDescent="0.25">
      <c r="D38" s="15">
        <v>7</v>
      </c>
      <c r="E38" s="6" t="s">
        <v>64</v>
      </c>
      <c r="F38" s="6" t="s">
        <v>65</v>
      </c>
      <c r="G38" s="6" t="s">
        <v>67</v>
      </c>
      <c r="I38" s="1" t="s">
        <v>68</v>
      </c>
      <c r="J38" s="1" t="s">
        <v>69</v>
      </c>
      <c r="K38" s="1" t="s">
        <v>70</v>
      </c>
      <c r="L38" s="1" t="s">
        <v>67</v>
      </c>
    </row>
    <row r="39" spans="2:13" x14ac:dyDescent="0.25">
      <c r="D39" s="16"/>
      <c r="E39" s="3">
        <v>75</v>
      </c>
      <c r="F39" s="1">
        <v>125</v>
      </c>
      <c r="G39" s="1"/>
      <c r="I39" s="2">
        <v>300</v>
      </c>
      <c r="J39" s="2">
        <v>900</v>
      </c>
      <c r="K39" s="2">
        <v>1300</v>
      </c>
      <c r="L39" s="2"/>
    </row>
    <row r="41" spans="2:13" ht="18.75" x14ac:dyDescent="0.3">
      <c r="B41" s="91" t="s">
        <v>101</v>
      </c>
      <c r="C41" s="86" t="s">
        <v>86</v>
      </c>
      <c r="D41" s="41"/>
      <c r="E41" s="80"/>
      <c r="F41" s="80"/>
      <c r="G41" s="80"/>
      <c r="H41" s="80"/>
      <c r="I41" s="80"/>
      <c r="J41" s="80"/>
      <c r="K41" s="80"/>
      <c r="L41" s="81"/>
      <c r="M41" s="81"/>
    </row>
    <row r="42" spans="2:13" ht="18.75" x14ac:dyDescent="0.3">
      <c r="B42" s="93" t="s">
        <v>102</v>
      </c>
      <c r="C42" s="49">
        <v>5</v>
      </c>
      <c r="D42" s="193"/>
      <c r="E42" s="18"/>
      <c r="F42" s="19" t="s">
        <v>63</v>
      </c>
      <c r="G42" s="14"/>
      <c r="H42" s="40"/>
      <c r="I42" s="20"/>
      <c r="J42" s="23" t="s">
        <v>66</v>
      </c>
      <c r="K42" s="21"/>
      <c r="L42" s="75"/>
      <c r="M42" s="89"/>
    </row>
    <row r="43" spans="2:13" x14ac:dyDescent="0.25">
      <c r="B43" s="92"/>
      <c r="C43" s="88"/>
      <c r="D43" s="76"/>
      <c r="E43" s="6" t="s">
        <v>64</v>
      </c>
      <c r="F43" s="6" t="s">
        <v>65</v>
      </c>
      <c r="G43" s="6" t="s">
        <v>67</v>
      </c>
      <c r="H43" s="40"/>
      <c r="I43" s="1" t="s">
        <v>68</v>
      </c>
      <c r="J43" s="1" t="s">
        <v>69</v>
      </c>
      <c r="K43" s="1" t="s">
        <v>70</v>
      </c>
      <c r="L43" s="77" t="s">
        <v>67</v>
      </c>
      <c r="M43" s="89"/>
    </row>
    <row r="44" spans="2:13" x14ac:dyDescent="0.25">
      <c r="B44" s="92"/>
      <c r="C44" s="87"/>
      <c r="D44" s="78"/>
      <c r="E44" s="3">
        <f>_xlfn.IFS(C42=D13,E15,C42=D18,E19,C42=D22,E23,C42=D26,E27,C42=D30,E31,C42=D34,E35,C42=D38,E39)</f>
        <v>75</v>
      </c>
      <c r="F44" s="1">
        <f>_xlfn.IFS(C42=D13,F15,C42=D18,F19,C42=D22,F23,C42=D26,F27,C42=D30,F31,C42=D34,F35,C42=D38,F39)</f>
        <v>125</v>
      </c>
      <c r="G44" s="1"/>
      <c r="H44" s="40"/>
      <c r="I44" s="2">
        <f>_xlfn.IFS($C$42=$D$13,I15,$C$42=$D$18,I19,$C$42=$D$22,I23,$C$42=$D$26,I27,$C$42=$D$30,I31,$C$42=$D$34,I35,$C$42=$D$38,I39)</f>
        <v>175</v>
      </c>
      <c r="J44" s="2">
        <f t="shared" ref="J44" si="0">_xlfn.IFS($C$42=$D$13,J15,$C$42=$D$18,J19,$C$42=$D$22,J23,$C$42=$D$26,J27,$C$42=$D$30,J31,$C$42=$D$34,J35,$C$42=$D$38,J39)</f>
        <v>225</v>
      </c>
      <c r="K44" s="2">
        <f>_xlfn.IFS($C$42=$D$13,K15,$C$42=$D$18,K19,$C$42=$D$22,K23,$C$42=$D$26,K27,$C$42=$D$30,K31,$C$42=$D$34,K35,$C$42=$D$38,K39)</f>
        <v>200</v>
      </c>
      <c r="L44" s="79"/>
      <c r="M44" s="89"/>
    </row>
    <row r="45" spans="2:13" x14ac:dyDescent="0.25">
      <c r="B45" s="62"/>
      <c r="C45" s="88"/>
      <c r="D45" s="82"/>
      <c r="E45" s="83"/>
      <c r="F45" s="83"/>
      <c r="G45" s="83"/>
      <c r="H45" s="83"/>
      <c r="I45" s="83"/>
      <c r="J45" s="83"/>
      <c r="K45" s="83"/>
      <c r="L45" s="84"/>
      <c r="M45" s="84"/>
    </row>
    <row r="47" spans="2:13" ht="18.75" x14ac:dyDescent="0.3">
      <c r="D47" s="48" t="s">
        <v>99</v>
      </c>
      <c r="E47" s="48" t="s">
        <v>100</v>
      </c>
      <c r="F47" s="97" t="s">
        <v>103</v>
      </c>
      <c r="G47" s="98"/>
    </row>
    <row r="48" spans="2:13" x14ac:dyDescent="0.25">
      <c r="D48" s="85">
        <v>1</v>
      </c>
      <c r="E48" s="27">
        <v>1</v>
      </c>
      <c r="F48" s="94"/>
      <c r="G48" s="95"/>
    </row>
    <row r="49" spans="4:7" ht="18.75" x14ac:dyDescent="0.3">
      <c r="D49" s="27" t="s">
        <v>87</v>
      </c>
      <c r="E49" s="27">
        <v>2</v>
      </c>
      <c r="F49" s="96" t="s">
        <v>104</v>
      </c>
      <c r="G49" s="99"/>
    </row>
    <row r="50" spans="4:7" ht="18.75" x14ac:dyDescent="0.3">
      <c r="D50" s="27" t="s">
        <v>88</v>
      </c>
      <c r="E50" s="27">
        <v>3</v>
      </c>
      <c r="F50" s="96" t="s">
        <v>105</v>
      </c>
      <c r="G50" s="99"/>
    </row>
    <row r="51" spans="4:7" x14ac:dyDescent="0.25">
      <c r="D51" s="27" t="s">
        <v>89</v>
      </c>
      <c r="E51" s="27">
        <v>4</v>
      </c>
      <c r="F51" s="94"/>
      <c r="G51" s="95"/>
    </row>
    <row r="52" spans="4:7" x14ac:dyDescent="0.25">
      <c r="D52" s="27" t="s">
        <v>90</v>
      </c>
      <c r="E52" s="27">
        <v>5</v>
      </c>
      <c r="F52" s="94"/>
      <c r="G52" s="95"/>
    </row>
    <row r="53" spans="4:7" x14ac:dyDescent="0.25">
      <c r="D53" s="27" t="s">
        <v>91</v>
      </c>
      <c r="E53" s="27">
        <v>6</v>
      </c>
      <c r="F53" s="94"/>
      <c r="G53" s="95"/>
    </row>
    <row r="54" spans="4:7" x14ac:dyDescent="0.25">
      <c r="D54" s="27" t="s">
        <v>92</v>
      </c>
      <c r="E54" s="27">
        <v>7</v>
      </c>
      <c r="F54" s="56"/>
      <c r="G54" s="47"/>
    </row>
  </sheetData>
  <dataValidations count="1">
    <dataValidation type="list" allowBlank="1" showInputMessage="1" showErrorMessage="1" sqref="C42" xr:uid="{25669117-F358-4057-AB69-30E31370C87F}">
      <formula1>$E$48:$E$54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2"/>
  <sheetViews>
    <sheetView zoomScale="95" zoomScaleNormal="145" workbookViewId="0">
      <selection activeCell="E16" sqref="E16"/>
    </sheetView>
  </sheetViews>
  <sheetFormatPr baseColWidth="10" defaultColWidth="9.140625" defaultRowHeight="15" x14ac:dyDescent="0.25"/>
  <cols>
    <col min="1" max="1" width="2.28515625" customWidth="1"/>
    <col min="3" max="3" width="4.42578125" customWidth="1"/>
    <col min="4" max="4" width="14.28515625" customWidth="1"/>
    <col min="5" max="5" width="31.42578125" customWidth="1"/>
    <col min="6" max="6" width="14.140625" customWidth="1"/>
    <col min="7" max="7" width="16.5703125" customWidth="1"/>
    <col min="8" max="8" width="12.5703125" customWidth="1"/>
    <col min="9" max="9" width="14.85546875" bestFit="1" customWidth="1"/>
    <col min="10" max="10" width="18.140625" customWidth="1"/>
    <col min="11" max="11" width="14.42578125" customWidth="1"/>
    <col min="12" max="12" width="10.85546875" customWidth="1"/>
    <col min="13" max="13" width="15.28515625" customWidth="1"/>
    <col min="14" max="14" width="15.7109375" customWidth="1"/>
    <col min="15" max="15" width="11.140625" customWidth="1"/>
  </cols>
  <sheetData>
    <row r="2" spans="1:15" x14ac:dyDescent="0.25">
      <c r="D2" s="106" t="s">
        <v>77</v>
      </c>
      <c r="E2" s="29"/>
      <c r="G2" s="29"/>
      <c r="H2" s="29" t="s">
        <v>8</v>
      </c>
      <c r="I2" s="29"/>
      <c r="J2" s="29"/>
      <c r="L2" s="29"/>
      <c r="M2" s="29" t="s">
        <v>9</v>
      </c>
      <c r="N2" s="29"/>
      <c r="O2" s="29"/>
    </row>
    <row r="3" spans="1:15" x14ac:dyDescent="0.25">
      <c r="D3" s="68" t="s">
        <v>0</v>
      </c>
      <c r="E3" s="68" t="s">
        <v>1</v>
      </c>
      <c r="G3" s="30" t="s">
        <v>5</v>
      </c>
      <c r="H3" s="30" t="s">
        <v>4</v>
      </c>
      <c r="I3" s="30" t="s">
        <v>6</v>
      </c>
      <c r="J3" s="30" t="s">
        <v>7</v>
      </c>
      <c r="L3" s="27" t="s">
        <v>5</v>
      </c>
      <c r="M3" s="27" t="s">
        <v>4</v>
      </c>
      <c r="N3" s="27" t="s">
        <v>6</v>
      </c>
      <c r="O3" s="27" t="s">
        <v>7</v>
      </c>
    </row>
    <row r="4" spans="1:15" x14ac:dyDescent="0.25">
      <c r="D4" s="69" t="s">
        <v>22</v>
      </c>
      <c r="E4" s="70">
        <v>324</v>
      </c>
      <c r="F4" s="51"/>
      <c r="G4" s="27">
        <f>IF(E4&gt;=TARIFA!$E$44,TARIFA!$E$44,E4)</f>
        <v>75</v>
      </c>
      <c r="H4" s="27">
        <f>_xlfn.IFS(E4&lt;=G4,0, E4&gt;=TARIFA!$E$44+TARIFA!$F$44,TARIFA!$F$44, E4&lt;TARIFA!$E$44+TARIFA!$F$44, E4-TARIFA!$E$44)</f>
        <v>125</v>
      </c>
      <c r="I4" s="27"/>
      <c r="J4" s="27">
        <f>IF(E4&lt;=TARIFA!$E$44+TARIFA!$F$44,0,E4-(TARIFA!$E$44+TARIFA!$F$44))</f>
        <v>124</v>
      </c>
      <c r="L4" s="31">
        <v>1.0629999999999999</v>
      </c>
      <c r="M4" s="31">
        <v>1.29</v>
      </c>
      <c r="N4" s="27"/>
      <c r="O4" s="31">
        <v>3.7770000000000001</v>
      </c>
    </row>
    <row r="5" spans="1:15" x14ac:dyDescent="0.25">
      <c r="D5" s="69" t="s">
        <v>23</v>
      </c>
      <c r="E5" s="70">
        <v>180</v>
      </c>
      <c r="F5" s="51"/>
      <c r="G5" s="29">
        <f>IF(E5&gt;=TARIFA!$E$44,TARIFA!$E$44,E5)</f>
        <v>75</v>
      </c>
      <c r="H5" s="29">
        <f>_xlfn.IFS(E5&lt;=G5,0, E5&gt;=TARIFA!$E$44+TARIFA!$F$44,TARIFA!$F$44, E5&lt;TARIFA!$E$44+TARIFA!$F$44, E5-TARIFA!$E$44)</f>
        <v>105</v>
      </c>
      <c r="I5" s="29"/>
      <c r="J5" s="29">
        <f>IF(E5&lt;=TARIFA!$E$44+TARIFA!$F$44,0,E5-(TARIFA!$E$44+TARIFA!$F$44))</f>
        <v>0</v>
      </c>
      <c r="L5" s="32">
        <v>1.0629999999999999</v>
      </c>
      <c r="M5" s="32">
        <v>1.29</v>
      </c>
      <c r="N5" s="29"/>
      <c r="O5" s="32">
        <v>3.7770000000000001</v>
      </c>
    </row>
    <row r="6" spans="1:15" x14ac:dyDescent="0.25">
      <c r="D6" s="69" t="s">
        <v>24</v>
      </c>
      <c r="E6" s="70">
        <v>188</v>
      </c>
      <c r="F6" s="51"/>
      <c r="G6" s="27">
        <f>IF(E6&gt;=TARIFA!$E$44,TARIFA!$E$44,E6)</f>
        <v>75</v>
      </c>
      <c r="H6" s="27">
        <f>_xlfn.IFS(E6&lt;=G6,0, E6&gt;=TARIFA!$E$44+TARIFA!$F$44,TARIFA!$F$44, E6&lt;TARIFA!$E$44+TARIFA!$F$44, E6-TARIFA!$E$44)</f>
        <v>113</v>
      </c>
      <c r="I6" s="27"/>
      <c r="J6" s="27">
        <f>IF(E6&lt;=TARIFA!$E$44+TARIFA!$F$44,0,E6-(TARIFA!$E$44+TARIFA!$F$44))</f>
        <v>0</v>
      </c>
      <c r="L6" s="31">
        <v>1.0629999999999999</v>
      </c>
      <c r="M6" s="31">
        <v>1.29</v>
      </c>
      <c r="N6" s="27"/>
      <c r="O6" s="31">
        <v>3.7770000000000001</v>
      </c>
    </row>
    <row r="7" spans="1:15" x14ac:dyDescent="0.25">
      <c r="D7" s="69" t="s">
        <v>25</v>
      </c>
      <c r="E7" s="70">
        <v>250</v>
      </c>
      <c r="F7" s="51"/>
      <c r="G7" s="29">
        <f>IF(E7&gt;=TARIFA!$E$44,TARIFA!$E$44,E7)</f>
        <v>75</v>
      </c>
      <c r="H7" s="29">
        <f>_xlfn.IFS(E7&lt;=G7,0, E7&gt;=TARIFA!$E$44+TARIFA!$F$44,TARIFA!$F$44, E7&lt;TARIFA!$E$44+TARIFA!$F$44, E7-TARIFA!$E$44)</f>
        <v>125</v>
      </c>
      <c r="I7" s="29"/>
      <c r="J7" s="29">
        <f>IF(E7&lt;=TARIFA!$E$44+TARIFA!$F$44,0,E7-(TARIFA!$E$44+TARIFA!$F$44))</f>
        <v>50</v>
      </c>
      <c r="L7" s="32">
        <v>1.0629999999999999</v>
      </c>
      <c r="M7" s="32">
        <v>1.29</v>
      </c>
      <c r="N7" s="29"/>
      <c r="O7" s="32">
        <v>3.7770000000000001</v>
      </c>
    </row>
    <row r="8" spans="1:15" x14ac:dyDescent="0.25">
      <c r="A8" s="51">
        <f>IF(E8&lt;=TARIFA!$I$44+TARIFA!$J$44+TARIFA!$K$44,1,2)</f>
        <v>1</v>
      </c>
      <c r="D8" s="69" t="s">
        <v>26</v>
      </c>
      <c r="E8" s="51">
        <v>512</v>
      </c>
      <c r="F8" s="51"/>
      <c r="G8" s="27">
        <f>IF(E8&gt;=TARIFA!$I$44,TARIFA!$I$44,E8)</f>
        <v>175</v>
      </c>
      <c r="H8" s="27">
        <f>_xlfn.IFS(E8&lt;=TARIFA!$I$44,0, E8&gt;=TARIFA!$I$44+TARIFA!$J$44,TARIFA!$J$44, E8&lt;TARIFA!$I$44+TARIFA!$J$44, E8-TARIFA!$I$44)</f>
        <v>225</v>
      </c>
      <c r="I8" s="155" cm="1">
        <f t="array" ref="I8">_xlfn.IFS(E8&lt;=TARIFA!$I$44+TARIFA!$J$44,0,A8=1,E8-TARIFA!$I$44-TARIFA!$J$44,A8=2,TARIFA!$K$44)</f>
        <v>112</v>
      </c>
      <c r="J8" s="27">
        <f>IF(E8&lt;=TARIFA!$I$44+TARIFA!$J$44+TARIFA!$K$44,0,E8-(TARIFA!$I$44+TARIFA!$J$44+TARIFA!$K$44))</f>
        <v>0</v>
      </c>
      <c r="L8" s="51">
        <v>0.96499999999999997</v>
      </c>
      <c r="M8" s="51">
        <v>1.119</v>
      </c>
      <c r="N8" s="60">
        <v>1.44</v>
      </c>
      <c r="O8" s="51">
        <v>3.847</v>
      </c>
    </row>
    <row r="9" spans="1:15" x14ac:dyDescent="0.25">
      <c r="A9" s="51">
        <f>IF(E9&lt;=TARIFA!$I$44+TARIFA!$J$44+TARIFA!$K$44,1,2)</f>
        <v>2</v>
      </c>
      <c r="D9" s="69" t="s">
        <v>27</v>
      </c>
      <c r="E9" s="51">
        <v>1350</v>
      </c>
      <c r="F9" s="51"/>
      <c r="G9" s="29">
        <f>IF(E9&gt;=TARIFA!$I$44,TARIFA!$I$44,E9)</f>
        <v>175</v>
      </c>
      <c r="H9" s="29">
        <f>_xlfn.IFS(E9&lt;=TARIFA!$I$44,0, E9&gt;=TARIFA!$I$44+TARIFA!$J$44,TARIFA!$J$44, E9&lt;TARIFA!$I$44+TARIFA!$J$44, E9-TARIFA!$I$44)</f>
        <v>225</v>
      </c>
      <c r="I9" s="29">
        <f>_xlfn.IFS(E9&lt;=TARIFA!$I$44+TARIFA!$J$44,0,A9=1,E9-TARIFA!$I$44-TARIFA!$J$44,A9=2,TARIFA!$K$44)</f>
        <v>200</v>
      </c>
      <c r="J9" s="29">
        <f>IF(E9&lt;=TARIFA!$I$44+TARIFA!$J$44+TARIFA!$K$44,0,E9-(TARIFA!$I$44+TARIFA!$J$44+TARIFA!$K$44))</f>
        <v>750</v>
      </c>
      <c r="L9" s="32">
        <v>0.96499999999999997</v>
      </c>
      <c r="M9" s="32">
        <v>1.119</v>
      </c>
      <c r="N9" s="29">
        <v>1.44</v>
      </c>
      <c r="O9" s="32">
        <v>3.847</v>
      </c>
    </row>
    <row r="10" spans="1:15" x14ac:dyDescent="0.25">
      <c r="A10" s="51">
        <f>IF(E10&lt;=TARIFA!$I$44+TARIFA!$J$44+TARIFA!$K$44,1,2)</f>
        <v>2</v>
      </c>
      <c r="D10" s="69" t="s">
        <v>28</v>
      </c>
      <c r="E10" s="51">
        <v>1430</v>
      </c>
      <c r="F10" s="51"/>
      <c r="G10" s="27">
        <f>IF(E10&gt;=TARIFA!$I$44,TARIFA!$I$44,E10)</f>
        <v>175</v>
      </c>
      <c r="H10" s="27">
        <f>_xlfn.IFS(E10&lt;=TARIFA!$I$44,0, E10&gt;=TARIFA!$I$44+TARIFA!$J$44,TARIFA!$J$44, E10&lt;TARIFA!$I$44+TARIFA!$J$44, E10-TARIFA!$I$44)</f>
        <v>225</v>
      </c>
      <c r="I10" s="27">
        <f>_xlfn.IFS(E10&lt;=TARIFA!$I$44+TARIFA!$J$44,0,A10=1,E10-TARIFA!$I$44-TARIFA!$J$44,A10=2,TARIFA!$K$44)</f>
        <v>200</v>
      </c>
      <c r="J10" s="27">
        <f>IF(E10&lt;=TARIFA!$I$44+TARIFA!$J$44+TARIFA!$K$44,0,E10-(TARIFA!$I$44+TARIFA!$J$44+TARIFA!$K$44))</f>
        <v>830</v>
      </c>
      <c r="L10" s="51">
        <v>0.96499999999999997</v>
      </c>
      <c r="M10" s="51">
        <v>1.119</v>
      </c>
      <c r="N10" s="60">
        <v>1.44</v>
      </c>
      <c r="O10" s="51">
        <v>3.847</v>
      </c>
    </row>
    <row r="11" spans="1:15" x14ac:dyDescent="0.25">
      <c r="A11" s="51">
        <f>IF(E11&lt;=TARIFA!$I$44+TARIFA!$J$44+TARIFA!$K$44,1,2)</f>
        <v>2</v>
      </c>
      <c r="D11" s="69" t="s">
        <v>29</v>
      </c>
      <c r="E11" s="51">
        <v>1730</v>
      </c>
      <c r="F11" s="51"/>
      <c r="G11" s="29">
        <f>IF(E11&gt;=TARIFA!$I$44,TARIFA!$I$44,E11)</f>
        <v>175</v>
      </c>
      <c r="H11" s="29">
        <f>_xlfn.IFS(E11&lt;=TARIFA!$I$44,0, E11&gt;=TARIFA!$I$44+TARIFA!$J$44,TARIFA!$J$44, E11&lt;TARIFA!$I$44+TARIFA!$J$44, E11-TARIFA!$I$44)</f>
        <v>225</v>
      </c>
      <c r="I11" s="29">
        <f>_xlfn.IFS(E11&lt;=TARIFA!$I$44+TARIFA!$J$44,0,A11=1,E11-TARIFA!$I$44-TARIFA!$J$44,A11=2,TARIFA!$K$44)</f>
        <v>200</v>
      </c>
      <c r="J11" s="29">
        <f>IF(E11&lt;=TARIFA!$I$44+TARIFA!$J$44+TARIFA!$K$44,0,E11-(TARIFA!$I$44+TARIFA!$J$44+TARIFA!$K$44))</f>
        <v>1130</v>
      </c>
      <c r="L11" s="32">
        <v>0.96499999999999997</v>
      </c>
      <c r="M11" s="32">
        <v>1.119</v>
      </c>
      <c r="N11" s="29">
        <v>1.44</v>
      </c>
      <c r="O11" s="32">
        <v>3.847</v>
      </c>
    </row>
    <row r="12" spans="1:15" x14ac:dyDescent="0.25">
      <c r="A12" s="51">
        <f>IF(E12&lt;=TARIFA!$I$44+TARIFA!$J$44+TARIFA!$K$44,1,2)</f>
        <v>2</v>
      </c>
      <c r="D12" s="69" t="s">
        <v>30</v>
      </c>
      <c r="E12" s="51">
        <v>1511</v>
      </c>
      <c r="F12" s="51"/>
      <c r="G12" s="27">
        <f>IF(E12&gt;=TARIFA!$I$44,TARIFA!$I$44,E12)</f>
        <v>175</v>
      </c>
      <c r="H12" s="27">
        <f>_xlfn.IFS(E12&lt;=TARIFA!$I$44,0, E12&gt;=TARIFA!$I$44+TARIFA!$J$44,TARIFA!$J$44, E12&lt;TARIFA!$I$44+TARIFA!$J$44, E12-TARIFA!$I$44)</f>
        <v>225</v>
      </c>
      <c r="I12" s="27">
        <f>_xlfn.IFS(E12&lt;=TARIFA!$I$44+TARIFA!$J$44,0,A12=1,E12-TARIFA!$I$44-TARIFA!$J$44,A12=2,TARIFA!$K$44)</f>
        <v>200</v>
      </c>
      <c r="J12" s="27">
        <f>IF(E12&lt;=TARIFA!$I$44+TARIFA!$J$44+TARIFA!$K$44,0,E12-(TARIFA!$I$44+TARIFA!$J$44+TARIFA!$K$44))</f>
        <v>911</v>
      </c>
      <c r="L12" s="51">
        <v>0.96499999999999997</v>
      </c>
      <c r="M12" s="51">
        <v>1.119</v>
      </c>
      <c r="N12" s="60">
        <v>1.44</v>
      </c>
      <c r="O12" s="51">
        <v>3.847</v>
      </c>
    </row>
    <row r="13" spans="1:15" x14ac:dyDescent="0.25">
      <c r="A13" s="51">
        <f>IF(E13&lt;=TARIFA!$I$44+TARIFA!$J$44+TARIFA!$K$44,1,2)</f>
        <v>2</v>
      </c>
      <c r="D13" s="69" t="s">
        <v>31</v>
      </c>
      <c r="E13" s="51">
        <v>1500</v>
      </c>
      <c r="F13" s="51"/>
      <c r="G13" s="29">
        <f>IF(E13&gt;=TARIFA!$I$44,TARIFA!$I$44,E13)</f>
        <v>175</v>
      </c>
      <c r="H13" s="29">
        <f>_xlfn.IFS(E13&lt;=TARIFA!$I$44,0, E13&gt;=TARIFA!$I$44+TARIFA!$J$44,TARIFA!$J$44, E13&lt;TARIFA!$I$44+TARIFA!$J$44, E13-TARIFA!$I$44)</f>
        <v>225</v>
      </c>
      <c r="I13" s="29">
        <f>_xlfn.IFS(E13&lt;=TARIFA!$I$44+TARIFA!$J$44,0,A13=1,E13-TARIFA!$I$44-TARIFA!$J$44,A13=2,TARIFA!$K$44)</f>
        <v>200</v>
      </c>
      <c r="J13" s="29">
        <f>IF(E13&lt;=TARIFA!$I$44+TARIFA!$J$44+TARIFA!$K$44,0,E13-(TARIFA!$I$44+TARIFA!$J$44+TARIFA!$K$44))</f>
        <v>900</v>
      </c>
      <c r="L13" s="32">
        <v>0.96499999999999997</v>
      </c>
      <c r="M13" s="32">
        <v>1.119</v>
      </c>
      <c r="N13" s="29">
        <v>1.44</v>
      </c>
      <c r="O13" s="32">
        <v>3.847</v>
      </c>
    </row>
    <row r="14" spans="1:15" x14ac:dyDescent="0.25">
      <c r="D14" s="69" t="s">
        <v>32</v>
      </c>
      <c r="E14" s="70">
        <v>1432</v>
      </c>
      <c r="F14" s="51"/>
      <c r="G14" s="27">
        <f>IF(E14&gt;=TARIFA!$E$44,TARIFA!$E$44,E14)</f>
        <v>75</v>
      </c>
      <c r="H14" s="27">
        <f>_xlfn.IFS(E14&lt;=G14,0, E14&gt;=TARIFA!$E$44+TARIFA!$F$44,TARIFA!$F$44,E14&lt;TARIFA!$E$44+TARIFA!$F$44, E14-TARIFA!$E$44)</f>
        <v>125</v>
      </c>
      <c r="I14" s="27"/>
      <c r="J14" s="27">
        <f>IF(E14&lt;=TARIFA!$E$44+TARIFA!$F$44,0,E14-(TARIFA!$E$44+TARIFA!$F$44))</f>
        <v>1232</v>
      </c>
      <c r="L14" s="31">
        <v>1.0629999999999999</v>
      </c>
      <c r="M14" s="31">
        <v>1.29</v>
      </c>
      <c r="N14" s="27"/>
      <c r="O14" s="31">
        <v>3.7770000000000001</v>
      </c>
    </row>
    <row r="15" spans="1:15" x14ac:dyDescent="0.25">
      <c r="D15" s="69" t="s">
        <v>33</v>
      </c>
      <c r="E15" s="70">
        <v>570</v>
      </c>
      <c r="F15" s="51"/>
      <c r="G15" s="29">
        <f>IF(E15&gt;=TARIFA!$E$44,TARIFA!$E$44,E15)</f>
        <v>75</v>
      </c>
      <c r="H15" s="29">
        <f>_xlfn.IFS(E15&lt;=G15,0, E15&gt;=TARIFA!$E$44+TARIFA!$F$44,TARIFA!$F$44,E15&lt;TARIFA!$E$44+TARIFA!$F$44, E15-TARIFA!$E$44)</f>
        <v>125</v>
      </c>
      <c r="I15" s="29"/>
      <c r="J15" s="29">
        <f>IF(E15&lt;=TARIFA!$E$44+TARIFA!$F$44,0,E15-(TARIFA!$E$44+TARIFA!$F$44))</f>
        <v>370</v>
      </c>
      <c r="L15" s="32">
        <v>1.0629999999999999</v>
      </c>
      <c r="M15" s="32">
        <v>1.29</v>
      </c>
      <c r="N15" s="29"/>
      <c r="O15" s="32">
        <v>3.7770000000000001</v>
      </c>
    </row>
    <row r="16" spans="1:15" x14ac:dyDescent="0.25">
      <c r="E16">
        <f>SUM(E4:E15)</f>
        <v>10977</v>
      </c>
      <c r="G16" s="27"/>
      <c r="H16" s="27"/>
      <c r="I16" s="27"/>
      <c r="J16" s="28">
        <f>SUM(J4:J15)</f>
        <v>6297</v>
      </c>
    </row>
    <row r="19" spans="4:16" x14ac:dyDescent="0.25">
      <c r="D19" s="32" t="s">
        <v>0</v>
      </c>
      <c r="E19" s="29" t="s">
        <v>10</v>
      </c>
      <c r="F19" s="29" t="s">
        <v>11</v>
      </c>
      <c r="G19" s="29" t="s">
        <v>12</v>
      </c>
      <c r="H19" s="29" t="s">
        <v>13</v>
      </c>
      <c r="I19" s="29" t="s">
        <v>14</v>
      </c>
      <c r="J19" s="29" t="s">
        <v>15</v>
      </c>
    </row>
    <row r="20" spans="4:16" x14ac:dyDescent="0.25">
      <c r="D20" s="36" t="s">
        <v>22</v>
      </c>
      <c r="E20" s="33">
        <f>G4*L4</f>
        <v>79.724999999999994</v>
      </c>
      <c r="F20" s="33">
        <f t="shared" ref="F20:H20" si="0">H4*M4</f>
        <v>161.25</v>
      </c>
      <c r="G20" s="33">
        <f t="shared" si="0"/>
        <v>0</v>
      </c>
      <c r="H20" s="33">
        <f t="shared" si="0"/>
        <v>468.34800000000001</v>
      </c>
      <c r="I20" s="34">
        <f t="shared" ref="I20:I31" si="1">SUM(E20:H20)</f>
        <v>709.32299999999998</v>
      </c>
      <c r="J20" s="34">
        <f>(SUM(E20:H20))*1.16</f>
        <v>822.81467999999995</v>
      </c>
      <c r="K20" s="71"/>
      <c r="M20" s="8"/>
    </row>
    <row r="21" spans="4:16" x14ac:dyDescent="0.25">
      <c r="D21" s="37" t="s">
        <v>23</v>
      </c>
      <c r="E21" s="38">
        <f t="shared" ref="E21:E23" si="2">G5*L5</f>
        <v>79.724999999999994</v>
      </c>
      <c r="F21" s="38">
        <f t="shared" ref="F21:F23" si="3">H5*M5</f>
        <v>135.45000000000002</v>
      </c>
      <c r="G21" s="38">
        <f t="shared" ref="G21:G23" si="4">I5*N5</f>
        <v>0</v>
      </c>
      <c r="H21" s="38">
        <f t="shared" ref="H21:H23" si="5">J5*O5</f>
        <v>0</v>
      </c>
      <c r="I21" s="39">
        <f t="shared" si="1"/>
        <v>215.17500000000001</v>
      </c>
      <c r="J21" s="39">
        <f t="shared" ref="J21:J31" si="6">(SUM(E21:H21))*1.16</f>
        <v>249.60300000000001</v>
      </c>
      <c r="K21" s="7"/>
    </row>
    <row r="22" spans="4:16" x14ac:dyDescent="0.25">
      <c r="D22" s="36" t="s">
        <v>24</v>
      </c>
      <c r="E22" s="33">
        <f t="shared" si="2"/>
        <v>79.724999999999994</v>
      </c>
      <c r="F22" s="33">
        <f t="shared" si="3"/>
        <v>145.77000000000001</v>
      </c>
      <c r="G22" s="33">
        <f t="shared" si="4"/>
        <v>0</v>
      </c>
      <c r="H22" s="33">
        <f t="shared" si="5"/>
        <v>0</v>
      </c>
      <c r="I22" s="34">
        <f t="shared" si="1"/>
        <v>225.495</v>
      </c>
      <c r="J22" s="34">
        <f t="shared" si="6"/>
        <v>261.57419999999996</v>
      </c>
      <c r="K22" s="7"/>
    </row>
    <row r="23" spans="4:16" x14ac:dyDescent="0.25">
      <c r="D23" s="37" t="s">
        <v>25</v>
      </c>
      <c r="E23" s="38">
        <f t="shared" si="2"/>
        <v>79.724999999999994</v>
      </c>
      <c r="F23" s="38">
        <f t="shared" si="3"/>
        <v>161.25</v>
      </c>
      <c r="G23" s="38">
        <f t="shared" si="4"/>
        <v>0</v>
      </c>
      <c r="H23" s="38">
        <f t="shared" si="5"/>
        <v>188.85</v>
      </c>
      <c r="I23" s="39">
        <f>SUM(E23:H23)</f>
        <v>429.82499999999999</v>
      </c>
      <c r="J23" s="39">
        <f t="shared" si="6"/>
        <v>498.59699999999998</v>
      </c>
      <c r="K23" s="7"/>
    </row>
    <row r="24" spans="4:16" x14ac:dyDescent="0.25">
      <c r="D24" s="36" t="s">
        <v>26</v>
      </c>
      <c r="E24" s="33">
        <f t="shared" ref="E24:H25" si="7">G8*L8</f>
        <v>168.875</v>
      </c>
      <c r="F24" s="33">
        <f t="shared" si="7"/>
        <v>251.77500000000001</v>
      </c>
      <c r="G24" s="33">
        <f>I8*N8</f>
        <v>161.28</v>
      </c>
      <c r="H24" s="33">
        <f t="shared" si="7"/>
        <v>0</v>
      </c>
      <c r="I24" s="34">
        <f t="shared" si="1"/>
        <v>581.92999999999995</v>
      </c>
      <c r="J24" s="34">
        <f t="shared" si="6"/>
        <v>675.03879999999992</v>
      </c>
      <c r="K24" s="7"/>
    </row>
    <row r="25" spans="4:16" x14ac:dyDescent="0.25">
      <c r="D25" s="37" t="s">
        <v>27</v>
      </c>
      <c r="E25" s="38">
        <f t="shared" si="7"/>
        <v>168.875</v>
      </c>
      <c r="F25" s="38">
        <f t="shared" si="7"/>
        <v>251.77500000000001</v>
      </c>
      <c r="G25" s="38">
        <f t="shared" ref="G25:G29" si="8">I9*N9</f>
        <v>288</v>
      </c>
      <c r="H25" s="38">
        <f t="shared" si="7"/>
        <v>2885.25</v>
      </c>
      <c r="I25" s="39">
        <f t="shared" si="1"/>
        <v>3593.9</v>
      </c>
      <c r="J25" s="39">
        <f t="shared" si="6"/>
        <v>4168.924</v>
      </c>
      <c r="K25" s="7"/>
    </row>
    <row r="26" spans="4:16" x14ac:dyDescent="0.25">
      <c r="D26" s="36" t="s">
        <v>28</v>
      </c>
      <c r="E26" s="33">
        <f t="shared" ref="E26:F31" si="9">G10*L10</f>
        <v>168.875</v>
      </c>
      <c r="F26" s="33">
        <f t="shared" si="9"/>
        <v>251.77500000000001</v>
      </c>
      <c r="G26" s="33">
        <f>I10*N10</f>
        <v>288</v>
      </c>
      <c r="H26" s="33">
        <f t="shared" ref="H26:H31" si="10">J10*O10</f>
        <v>3193.0099999999998</v>
      </c>
      <c r="I26" s="34">
        <f t="shared" si="1"/>
        <v>3901.66</v>
      </c>
      <c r="J26" s="34">
        <f t="shared" si="6"/>
        <v>4525.9255999999996</v>
      </c>
      <c r="K26" s="7"/>
    </row>
    <row r="27" spans="4:16" x14ac:dyDescent="0.25">
      <c r="D27" s="37" t="s">
        <v>29</v>
      </c>
      <c r="E27" s="38">
        <f t="shared" si="9"/>
        <v>168.875</v>
      </c>
      <c r="F27" s="38">
        <f t="shared" si="9"/>
        <v>251.77500000000001</v>
      </c>
      <c r="G27" s="38">
        <f>I11*N11</f>
        <v>288</v>
      </c>
      <c r="H27" s="38">
        <f t="shared" si="10"/>
        <v>4347.1099999999997</v>
      </c>
      <c r="I27" s="39">
        <f t="shared" si="1"/>
        <v>5055.7599999999993</v>
      </c>
      <c r="J27" s="39">
        <f t="shared" si="6"/>
        <v>5864.681599999999</v>
      </c>
      <c r="K27" s="7"/>
    </row>
    <row r="28" spans="4:16" x14ac:dyDescent="0.25">
      <c r="D28" s="36" t="s">
        <v>30</v>
      </c>
      <c r="E28" s="33">
        <f t="shared" si="9"/>
        <v>168.875</v>
      </c>
      <c r="F28" s="33">
        <f t="shared" si="9"/>
        <v>251.77500000000001</v>
      </c>
      <c r="G28" s="33">
        <f t="shared" si="8"/>
        <v>288</v>
      </c>
      <c r="H28" s="33">
        <f t="shared" si="10"/>
        <v>3504.6170000000002</v>
      </c>
      <c r="I28" s="34">
        <f t="shared" si="1"/>
        <v>4213.2669999999998</v>
      </c>
      <c r="J28" s="34">
        <f t="shared" si="6"/>
        <v>4887.3897199999992</v>
      </c>
      <c r="K28" s="7"/>
      <c r="P28" s="4"/>
    </row>
    <row r="29" spans="4:16" x14ac:dyDescent="0.25">
      <c r="D29" s="37" t="s">
        <v>31</v>
      </c>
      <c r="E29" s="38">
        <f t="shared" si="9"/>
        <v>168.875</v>
      </c>
      <c r="F29" s="38">
        <f t="shared" si="9"/>
        <v>251.77500000000001</v>
      </c>
      <c r="G29" s="38">
        <f t="shared" si="8"/>
        <v>288</v>
      </c>
      <c r="H29" s="38">
        <f t="shared" si="10"/>
        <v>3462.3</v>
      </c>
      <c r="I29" s="39">
        <f t="shared" si="1"/>
        <v>4170.95</v>
      </c>
      <c r="J29" s="39">
        <f t="shared" si="6"/>
        <v>4838.3019999999997</v>
      </c>
      <c r="K29" s="7"/>
      <c r="P29" s="4"/>
    </row>
    <row r="30" spans="4:16" x14ac:dyDescent="0.25">
      <c r="D30" s="36" t="s">
        <v>32</v>
      </c>
      <c r="E30" s="33">
        <f t="shared" si="9"/>
        <v>79.724999999999994</v>
      </c>
      <c r="F30" s="33">
        <f t="shared" si="9"/>
        <v>161.25</v>
      </c>
      <c r="G30" s="33">
        <f>I14*N14</f>
        <v>0</v>
      </c>
      <c r="H30" s="33">
        <f t="shared" si="10"/>
        <v>4653.2640000000001</v>
      </c>
      <c r="I30" s="34">
        <f t="shared" si="1"/>
        <v>4894.2390000000005</v>
      </c>
      <c r="J30" s="34">
        <f t="shared" si="6"/>
        <v>5677.3172400000003</v>
      </c>
    </row>
    <row r="31" spans="4:16" x14ac:dyDescent="0.25">
      <c r="D31" s="37" t="s">
        <v>33</v>
      </c>
      <c r="E31" s="38">
        <f t="shared" si="9"/>
        <v>79.724999999999994</v>
      </c>
      <c r="F31" s="38">
        <f t="shared" si="9"/>
        <v>161.25</v>
      </c>
      <c r="G31" s="38">
        <f>I15*N15</f>
        <v>0</v>
      </c>
      <c r="H31" s="38">
        <f t="shared" si="10"/>
        <v>1397.49</v>
      </c>
      <c r="I31" s="39">
        <f t="shared" si="1"/>
        <v>1638.4649999999999</v>
      </c>
      <c r="J31" s="39">
        <f t="shared" si="6"/>
        <v>1900.6193999999998</v>
      </c>
      <c r="K31" s="71"/>
    </row>
    <row r="32" spans="4:16" x14ac:dyDescent="0.25">
      <c r="D32" s="27"/>
      <c r="E32" s="27"/>
      <c r="F32" s="27"/>
      <c r="G32" s="27"/>
      <c r="H32" s="27"/>
      <c r="I32" s="27"/>
      <c r="J32" s="35">
        <f>SUM(J20:J31)</f>
        <v>34370.787239999998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6F5C-9E67-47FC-B43D-113F94DFBBF3}">
  <dimension ref="A4:T84"/>
  <sheetViews>
    <sheetView tabSelected="1" zoomScale="106" zoomScaleNormal="115" workbookViewId="0">
      <selection activeCell="C14" sqref="C14"/>
    </sheetView>
  </sheetViews>
  <sheetFormatPr baseColWidth="10" defaultRowHeight="15" x14ac:dyDescent="0.25"/>
  <cols>
    <col min="2" max="2" width="25" customWidth="1"/>
    <col min="3" max="3" width="24.85546875" customWidth="1"/>
    <col min="4" max="4" width="24.7109375" customWidth="1"/>
    <col min="5" max="5" width="22" customWidth="1"/>
    <col min="6" max="6" width="18.42578125" customWidth="1"/>
    <col min="7" max="7" width="13.42578125" customWidth="1"/>
    <col min="8" max="8" width="16" customWidth="1"/>
    <col min="9" max="9" width="13.28515625" customWidth="1"/>
    <col min="10" max="10" width="18.5703125" customWidth="1"/>
    <col min="11" max="11" width="19.42578125" customWidth="1"/>
    <col min="13" max="13" width="32.7109375" customWidth="1"/>
    <col min="16" max="16" width="30.7109375" customWidth="1"/>
    <col min="18" max="18" width="24.140625" customWidth="1"/>
    <col min="20" max="20" width="45.5703125" customWidth="1"/>
  </cols>
  <sheetData>
    <row r="4" spans="1:20" ht="15.75" thickBot="1" x14ac:dyDescent="0.3">
      <c r="G4" s="52"/>
      <c r="H4" s="53"/>
      <c r="I4" s="53" t="s">
        <v>8</v>
      </c>
      <c r="J4" s="53"/>
      <c r="K4" s="54"/>
      <c r="M4" s="29" t="s">
        <v>74</v>
      </c>
      <c r="O4" s="29" t="s">
        <v>18</v>
      </c>
      <c r="P4" s="57" t="s">
        <v>80</v>
      </c>
      <c r="Q4" s="43"/>
      <c r="R4" s="43"/>
      <c r="S4" s="43"/>
      <c r="T4" s="44"/>
    </row>
    <row r="5" spans="1:20" ht="16.5" thickTop="1" thickBot="1" x14ac:dyDescent="0.3">
      <c r="C5" s="149" t="s">
        <v>0</v>
      </c>
      <c r="D5" s="150" t="s">
        <v>20</v>
      </c>
      <c r="E5" s="149" t="s">
        <v>19</v>
      </c>
      <c r="G5" s="62"/>
      <c r="H5" s="62" t="s">
        <v>5</v>
      </c>
      <c r="I5" s="62" t="s">
        <v>4</v>
      </c>
      <c r="J5" s="62" t="s">
        <v>6</v>
      </c>
      <c r="K5" s="62" t="s">
        <v>7</v>
      </c>
      <c r="M5" s="27">
        <f>M11*M8*0.001</f>
        <v>2.48</v>
      </c>
      <c r="O5" s="27">
        <v>0.75</v>
      </c>
      <c r="P5" s="58" t="s">
        <v>81</v>
      </c>
      <c r="Q5" s="46"/>
      <c r="R5" s="46"/>
      <c r="S5" s="46"/>
      <c r="T5" s="47"/>
    </row>
    <row r="6" spans="1:20" ht="16.5" thickTop="1" thickBot="1" x14ac:dyDescent="0.3">
      <c r="C6" s="151" t="s">
        <v>22</v>
      </c>
      <c r="D6" s="152">
        <f>'Desglose energía'!E4</f>
        <v>324</v>
      </c>
      <c r="E6" s="153">
        <f>F59</f>
        <v>0</v>
      </c>
      <c r="G6" s="36" t="s">
        <v>22</v>
      </c>
      <c r="H6" s="27">
        <f>IF(E6&gt;=TARIFA!$E$44,TARIFA!$E$44,E6)</f>
        <v>0</v>
      </c>
      <c r="I6" s="27">
        <f>_xlfn.IFS(E6&lt;=H6,0, E6&gt;=TARIFA!$E$44+TARIFA!$F$44,TARIFA!$F$44, E6&lt;TARIFA!$E$44+TARIFA!$F$44, E6-TARIFA!$E$44)</f>
        <v>0</v>
      </c>
      <c r="J6" s="27"/>
      <c r="K6" s="27">
        <f>IF(E6&lt;=TARIFA!$E$44+TARIFA!$F$44,0,E6-(TARIFA!$E$44+TARIFA!$F$44))</f>
        <v>0</v>
      </c>
    </row>
    <row r="7" spans="1:20" ht="16.5" thickTop="1" thickBot="1" x14ac:dyDescent="0.3">
      <c r="C7" s="37" t="s">
        <v>23</v>
      </c>
      <c r="D7" s="73">
        <f>'Desglose energía'!E5</f>
        <v>180</v>
      </c>
      <c r="E7" s="154">
        <f t="shared" ref="E7:E17" si="0">F60</f>
        <v>0</v>
      </c>
      <c r="G7" s="37" t="s">
        <v>23</v>
      </c>
      <c r="H7" s="29">
        <f>IF(E7&gt;=TARIFA!$E$44,TARIFA!$E$44,E7)</f>
        <v>0</v>
      </c>
      <c r="I7" s="29">
        <f>_xlfn.IFS(E7&lt;=H7,0, E7&gt;=TARIFA!$E$44+TARIFA!$F$44,TARIFA!$F$44, E7&lt;TARIFA!$E$44+TARIFA!$F$44, E7-TARIFA!$E$44)</f>
        <v>0</v>
      </c>
      <c r="J7" s="29"/>
      <c r="K7" s="29">
        <f>IF(E7&lt;=TARIFA!$E$44+TARIFA!$F$44,0,E7-(TARIFA!$E$44+TARIFA!$F$44))</f>
        <v>0</v>
      </c>
      <c r="M7" s="48" t="s">
        <v>75</v>
      </c>
      <c r="N7" s="42" t="s">
        <v>78</v>
      </c>
      <c r="O7" s="43"/>
      <c r="P7" s="44"/>
      <c r="R7" s="28" t="s">
        <v>73</v>
      </c>
    </row>
    <row r="8" spans="1:20" ht="16.5" thickTop="1" thickBot="1" x14ac:dyDescent="0.3">
      <c r="A8" s="126">
        <f>IF(E10&lt;=TARIFA!$I$44+TARIFA!$J$44+TARIFA!$K$44,1,2)</f>
        <v>1</v>
      </c>
      <c r="C8" s="50" t="s">
        <v>24</v>
      </c>
      <c r="D8" s="72">
        <f>'Desglose energía'!E6</f>
        <v>188</v>
      </c>
      <c r="E8" s="153">
        <f t="shared" si="0"/>
        <v>0</v>
      </c>
      <c r="G8" s="36" t="s">
        <v>24</v>
      </c>
      <c r="H8" s="27">
        <f>IF(E8&gt;=TARIFA!$E$44,TARIFA!$E$44,E8)</f>
        <v>0</v>
      </c>
      <c r="I8" s="27">
        <f>_xlfn.IFS(E8&lt;=H8,0, E8&gt;=TARIFA!$E$44+TARIFA!$F$44,TARIFA!$F$44, E8&lt;TARIFA!$E$44+TARIFA!$F$44, E8-TARIFA!$E$44)</f>
        <v>0</v>
      </c>
      <c r="J8" s="27"/>
      <c r="K8" s="27">
        <f>IF(E8&lt;=TARIFA!$E$44+TARIFA!$F$44,0,E8-(TARIFA!$E$44+TARIFA!$F$44))</f>
        <v>0</v>
      </c>
      <c r="M8" s="27">
        <v>620</v>
      </c>
      <c r="N8" s="46"/>
      <c r="O8" s="46"/>
      <c r="P8" s="47"/>
      <c r="R8" s="49">
        <f>ROUNDUP((D19/(365*E36*O5)),1)</f>
        <v>6.5</v>
      </c>
    </row>
    <row r="9" spans="1:20" ht="16.5" thickTop="1" thickBot="1" x14ac:dyDescent="0.3">
      <c r="A9" s="126">
        <f>IF(E11&lt;=TARIFA!$I$44+TARIFA!$J$44+TARIFA!$K$44,1,2)</f>
        <v>1</v>
      </c>
      <c r="C9" s="37" t="s">
        <v>25</v>
      </c>
      <c r="D9" s="73">
        <f>'Desglose energía'!E7</f>
        <v>250</v>
      </c>
      <c r="E9" s="154">
        <f t="shared" si="0"/>
        <v>0</v>
      </c>
      <c r="G9" s="37" t="s">
        <v>25</v>
      </c>
      <c r="H9" s="29">
        <f>IF(E9&gt;=TARIFA!$E$44,TARIFA!$E$44,E9)</f>
        <v>0</v>
      </c>
      <c r="I9" s="29">
        <f>_xlfn.IFS(E9&lt;=H9,0, E9&gt;=TARIFA!$E$44+TARIFA!$F$44,TARIFA!$F$44, E9&lt;TARIFA!$E$44+TARIFA!$F$44, E9-TARIFA!$E$44)</f>
        <v>0</v>
      </c>
      <c r="J9" s="29"/>
      <c r="K9" s="29">
        <f>IF(E9&lt;=TARIFA!$E$44+TARIFA!$F$44,0,E9-(TARIFA!$E$44+TARIFA!$F$44))</f>
        <v>0</v>
      </c>
    </row>
    <row r="10" spans="1:20" ht="16.5" thickTop="1" thickBot="1" x14ac:dyDescent="0.3">
      <c r="A10" s="126">
        <f>IF(E12&lt;=TARIFA!$I$44+TARIFA!$J$44+TARIFA!$K$44,1,2)</f>
        <v>2</v>
      </c>
      <c r="C10" s="36" t="s">
        <v>26</v>
      </c>
      <c r="D10" s="72">
        <f>'Desglose energía'!E8</f>
        <v>512</v>
      </c>
      <c r="E10" s="153">
        <f>F63</f>
        <v>0</v>
      </c>
      <c r="G10" s="36" t="s">
        <v>26</v>
      </c>
      <c r="H10" s="27">
        <f>IF(E10&gt;=TARIFA!$I$44,TARIFA!$I$44,E10)</f>
        <v>0</v>
      </c>
      <c r="I10" s="27">
        <f>_xlfn.IFS(E10&lt;=TARIFA!$I$44,0, E10&gt;=TARIFA!$I$44+TARIFA!$J$44,TARIFA!$J$44, E10&lt;TARIFA!$I$44+TARIFA!$J$44, E10-TARIFA!$I$44)</f>
        <v>0</v>
      </c>
      <c r="J10" s="60" cm="1">
        <f t="array" ref="J10">_xlfn.IFS(E10&lt;=TARIFA!$I$44+TARIFA!$J$44,0,A8=1,E10-TARIFA!$I$44-TARIFA!$J$44,A8=2,TARIFA!$K$44)</f>
        <v>0</v>
      </c>
      <c r="K10" s="27">
        <f>IF(E10&lt;=TARIFA!$I$44+TARIFA!$J$44+TARIFA!$K$44,0,E10-(TARIFA!$I$44+TARIFA!$J$44+TARIFA!$K$44))</f>
        <v>0</v>
      </c>
      <c r="M10" s="48" t="s">
        <v>76</v>
      </c>
      <c r="N10" s="42" t="s">
        <v>79</v>
      </c>
      <c r="O10" s="43"/>
      <c r="P10" s="44"/>
    </row>
    <row r="11" spans="1:20" ht="16.5" thickTop="1" thickBot="1" x14ac:dyDescent="0.3">
      <c r="A11" s="126">
        <f>IF(E13&lt;=TARIFA!$I$44+TARIFA!$J$44+TARIFA!$K$44,1,2)</f>
        <v>2</v>
      </c>
      <c r="C11" s="37" t="s">
        <v>27</v>
      </c>
      <c r="D11" s="73">
        <f>'Desglose energía'!E9</f>
        <v>1350</v>
      </c>
      <c r="E11" s="154">
        <f>F64</f>
        <v>561</v>
      </c>
      <c r="G11" s="37" t="s">
        <v>27</v>
      </c>
      <c r="H11" s="29">
        <f>IF(E11&gt;=TARIFA!$I$44,TARIFA!$I$44,E11)</f>
        <v>175</v>
      </c>
      <c r="I11" s="29">
        <f>_xlfn.IFS(E11&lt;=TARIFA!$I$44,0, E11&gt;=TARIFA!$I$44+TARIFA!$J$44,TARIFA!$J$44, E11&lt;TARIFA!$I$44+TARIFA!$J$44, E11-TARIFA!$I$44)</f>
        <v>225</v>
      </c>
      <c r="J11" s="29" cm="1">
        <f t="array" ref="J11">_xlfn.IFS(E11&lt;=TARIFA!$I$44+TARIFA!$J$44,0,A9=1,E11-TARIFA!$I$44-TARIFA!$J$44,A9=2,TARIFA!$K$44)</f>
        <v>161</v>
      </c>
      <c r="K11" s="29">
        <f>IF(E11&lt;=TARIFA!$I$44+TARIFA!$J$44+TARIFA!$K$44,0,E11-(TARIFA!$I$44+TARIFA!$J$44+TARIFA!$K$44))</f>
        <v>0</v>
      </c>
      <c r="M11" s="27">
        <v>4</v>
      </c>
      <c r="N11" s="46"/>
      <c r="O11" s="46"/>
      <c r="P11" s="47"/>
    </row>
    <row r="12" spans="1:20" ht="16.5" thickTop="1" thickBot="1" x14ac:dyDescent="0.3">
      <c r="A12" s="126">
        <f>IF(E14&lt;=TARIFA!$I$44+TARIFA!$J$44+TARIFA!$K$44,1,2)</f>
        <v>2</v>
      </c>
      <c r="C12" s="36" t="s">
        <v>28</v>
      </c>
      <c r="D12" s="72">
        <f>'Desglose energía'!E10</f>
        <v>1430</v>
      </c>
      <c r="E12" s="153">
        <f t="shared" ref="E11:E15" si="1">F65</f>
        <v>1107</v>
      </c>
      <c r="G12" s="36" t="s">
        <v>28</v>
      </c>
      <c r="H12" s="27">
        <f>IF(E12&gt;=TARIFA!$I$44,TARIFA!$I$44,E12)</f>
        <v>175</v>
      </c>
      <c r="I12" s="27">
        <f>_xlfn.IFS(E12&lt;=TARIFA!$I$44,0, E12&gt;=TARIFA!$I$44+TARIFA!$J$44,TARIFA!$J$44, E12&lt;TARIFA!$I$44+TARIFA!$J$44, E12-TARIFA!$I$44)</f>
        <v>225</v>
      </c>
      <c r="J12" s="60" cm="1">
        <f t="array" ref="J12">_xlfn.IFS(E12&lt;=TARIFA!$I$44+TARIFA!$J$44,0,A10=1,E12-TARIFA!$I$44-TARIFA!$J$44,A10=2,TARIFA!$K$44)</f>
        <v>200</v>
      </c>
      <c r="K12" s="27">
        <f>IF(E12&lt;=TARIFA!$I$44+TARIFA!$J$44+TARIFA!$K$44,0,E12-(TARIFA!$I$44+TARIFA!$J$44+TARIFA!$K$44))</f>
        <v>507</v>
      </c>
    </row>
    <row r="13" spans="1:20" ht="16.5" thickTop="1" thickBot="1" x14ac:dyDescent="0.3">
      <c r="A13" s="126">
        <f>IF(E15&lt;=TARIFA!$I$44+TARIFA!$J$44+TARIFA!$K$44,1,2)</f>
        <v>2</v>
      </c>
      <c r="C13" s="37" t="s">
        <v>29</v>
      </c>
      <c r="D13" s="73">
        <f>'Desglose energía'!E11</f>
        <v>1730</v>
      </c>
      <c r="E13" s="154">
        <f t="shared" si="1"/>
        <v>1402</v>
      </c>
      <c r="G13" s="37" t="s">
        <v>29</v>
      </c>
      <c r="H13" s="29">
        <f>IF(E13&gt;=TARIFA!$I$44,TARIFA!$I$44,E13)</f>
        <v>175</v>
      </c>
      <c r="I13" s="29">
        <f>_xlfn.IFS(E13&lt;=TARIFA!$I$44,0, E13&gt;=TARIFA!$I$44+TARIFA!$J$44,TARIFA!$J$44, E13&lt;TARIFA!$I$44+TARIFA!$J$44, E13-TARIFA!$I$44)</f>
        <v>225</v>
      </c>
      <c r="J13" s="29" cm="1">
        <f t="array" ref="J13">_xlfn.IFS(E13&lt;=TARIFA!$I$44+TARIFA!$J$44,0,A11=1,E13-TARIFA!$I$44-TARIFA!$J$44,A11=2,TARIFA!$K$44)</f>
        <v>200</v>
      </c>
      <c r="K13" s="29">
        <f>IF(E13&lt;=TARIFA!$I$44+TARIFA!$J$44+TARIFA!$K$44,0,E13-(TARIFA!$I$44+TARIFA!$J$44+TARIFA!$K$44))</f>
        <v>802</v>
      </c>
      <c r="Q13" s="24"/>
      <c r="R13" s="24"/>
    </row>
    <row r="14" spans="1:20" ht="16.5" thickTop="1" thickBot="1" x14ac:dyDescent="0.3">
      <c r="C14" s="36" t="s">
        <v>30</v>
      </c>
      <c r="D14" s="72">
        <f>'Desglose energía'!E12</f>
        <v>1511</v>
      </c>
      <c r="E14" s="153">
        <f t="shared" si="1"/>
        <v>1206</v>
      </c>
      <c r="G14" s="36" t="s">
        <v>30</v>
      </c>
      <c r="H14" s="27">
        <f>IF(E14&gt;=TARIFA!$I$44,TARIFA!$I$44,E14)</f>
        <v>175</v>
      </c>
      <c r="I14" s="27">
        <f>_xlfn.IFS(E14&lt;=TARIFA!$I$44,0, E14&gt;=TARIFA!$I$44+TARIFA!$J$44,TARIFA!$J$44, E14&lt;TARIFA!$I$44+TARIFA!$J$44, E14-TARIFA!$I$44)</f>
        <v>225</v>
      </c>
      <c r="J14" s="60" cm="1">
        <f t="array" ref="J14">_xlfn.IFS(E14&lt;=TARIFA!$I$44+TARIFA!$J$44,0,A12=1,E14-TARIFA!$I$44-TARIFA!$J$44,A12=2,TARIFA!$K$44)</f>
        <v>200</v>
      </c>
      <c r="K14" s="27">
        <f>IF(E14&lt;=TARIFA!$I$44+TARIFA!$J$44+TARIFA!$K$44,0,E14-(TARIFA!$I$44+TARIFA!$J$44+TARIFA!$K$44))</f>
        <v>606</v>
      </c>
      <c r="Q14" s="26"/>
      <c r="R14" s="24"/>
    </row>
    <row r="15" spans="1:20" ht="16.5" thickTop="1" thickBot="1" x14ac:dyDescent="0.3">
      <c r="C15" s="37" t="s">
        <v>31</v>
      </c>
      <c r="D15" s="73">
        <f>'Desglose energía'!E13</f>
        <v>1500</v>
      </c>
      <c r="E15" s="154">
        <f t="shared" si="1"/>
        <v>1145</v>
      </c>
      <c r="G15" s="37" t="s">
        <v>31</v>
      </c>
      <c r="H15" s="29">
        <f>IF(E15&gt;=TARIFA!$I$44,TARIFA!$I$44,E15)</f>
        <v>175</v>
      </c>
      <c r="I15" s="29">
        <f>_xlfn.IFS(E15&lt;=TARIFA!$I$44,0, E15&gt;=TARIFA!$I$44+TARIFA!$J$44,TARIFA!$J$44, E15&lt;TARIFA!$I$44+TARIFA!$J$44, E15-TARIFA!$I$44)</f>
        <v>225</v>
      </c>
      <c r="J15" s="29" cm="1">
        <f t="array" ref="J15">_xlfn.IFS(E15&lt;=TARIFA!$I$44+TARIFA!$J$44,0,A13=1,E15-TARIFA!$I$44-TARIFA!$J$44,A13=2,TARIFA!$K$44)</f>
        <v>200</v>
      </c>
      <c r="K15" s="29">
        <f>IF(E15&lt;=TARIFA!$I$44+TARIFA!$J$44+TARIFA!$K$44,0,E15-(TARIFA!$I$44+TARIFA!$J$44+TARIFA!$K$44))</f>
        <v>545</v>
      </c>
      <c r="Q15" s="26"/>
      <c r="R15" s="24"/>
    </row>
    <row r="16" spans="1:20" ht="16.5" thickTop="1" thickBot="1" x14ac:dyDescent="0.3">
      <c r="C16" s="50" t="s">
        <v>32</v>
      </c>
      <c r="D16" s="72">
        <f>'Desglose energía'!E14</f>
        <v>1432</v>
      </c>
      <c r="E16" s="153">
        <f t="shared" si="0"/>
        <v>1088</v>
      </c>
      <c r="G16" s="36" t="s">
        <v>32</v>
      </c>
      <c r="H16" s="27">
        <f>IF(E16&gt;=TARIFA!$E$44,TARIFA!$E$44,E16)</f>
        <v>75</v>
      </c>
      <c r="I16" s="27">
        <f>_xlfn.IFS(E16&lt;=H16,0, E16&gt;=TARIFA!$E$44+TARIFA!$F$44,TARIFA!$F$44,E16&lt;TARIFA!$E$44+TARIFA!$F$44, E16-TARIFA!$E$44)</f>
        <v>125</v>
      </c>
      <c r="J16" s="27"/>
      <c r="K16" s="27">
        <f>IF(E16&lt;=TARIFA!$E$44+TARIFA!$F$44,0,E16-(TARIFA!$E$44+TARIFA!$F$44))</f>
        <v>888</v>
      </c>
      <c r="Q16" s="26"/>
      <c r="R16" s="24"/>
    </row>
    <row r="17" spans="3:18" ht="16.5" thickTop="1" thickBot="1" x14ac:dyDescent="0.3">
      <c r="C17" s="59" t="s">
        <v>33</v>
      </c>
      <c r="D17" s="74">
        <f>'Desglose energía'!E15</f>
        <v>570</v>
      </c>
      <c r="E17" s="154">
        <f t="shared" si="0"/>
        <v>245</v>
      </c>
      <c r="G17" s="37" t="s">
        <v>33</v>
      </c>
      <c r="H17" s="29">
        <f>IF(E17&gt;=TARIFA!$E$44,TARIFA!$E$44,E17)</f>
        <v>75</v>
      </c>
      <c r="I17" s="29">
        <f>_xlfn.IFS(E17&lt;=H17,0, E17&gt;=TARIFA!$E$44+TARIFA!$F$44,TARIFA!$F$44,E17&lt;TARIFA!$E$44+TARIFA!$F$44, E17-TARIFA!$E$44)</f>
        <v>125</v>
      </c>
      <c r="J17" s="29"/>
      <c r="K17" s="29">
        <f>IF(E17&lt;=TARIFA!$E$44+TARIFA!$F$44,0,E17-(TARIFA!$E$44+TARIFA!$F$44))</f>
        <v>45</v>
      </c>
      <c r="Q17" s="26"/>
      <c r="R17" s="24"/>
    </row>
    <row r="18" spans="3:18" ht="15.75" thickTop="1" x14ac:dyDescent="0.25">
      <c r="C18" s="52"/>
      <c r="D18" s="53" t="s">
        <v>21</v>
      </c>
      <c r="E18" s="62" t="s">
        <v>14</v>
      </c>
      <c r="Q18" s="26"/>
      <c r="R18" s="24"/>
    </row>
    <row r="19" spans="3:18" x14ac:dyDescent="0.25">
      <c r="C19" s="45"/>
      <c r="D19" s="72">
        <f>SUM(D6:D17)</f>
        <v>10977</v>
      </c>
      <c r="E19" s="51">
        <f>SUM(E6:E17)</f>
        <v>6754</v>
      </c>
      <c r="Q19" s="26"/>
      <c r="R19" s="24"/>
    </row>
    <row r="20" spans="3:18" x14ac:dyDescent="0.25">
      <c r="Q20" s="26"/>
      <c r="R20" s="24"/>
    </row>
    <row r="21" spans="3:18" x14ac:dyDescent="0.25">
      <c r="C21" s="121" t="s">
        <v>82</v>
      </c>
      <c r="D21" s="122"/>
      <c r="E21" s="122"/>
      <c r="F21" s="123"/>
      <c r="Q21" s="26"/>
      <c r="R21" s="24"/>
    </row>
    <row r="22" spans="3:18" x14ac:dyDescent="0.25">
      <c r="C22" s="55" t="s">
        <v>16</v>
      </c>
      <c r="D22" s="55"/>
      <c r="E22" s="55"/>
      <c r="F22" s="55"/>
      <c r="H22" s="29"/>
      <c r="I22" s="29" t="s">
        <v>9</v>
      </c>
      <c r="J22" s="29"/>
      <c r="K22" s="29"/>
      <c r="Q22" s="26"/>
      <c r="R22" s="24"/>
    </row>
    <row r="23" spans="3:18" x14ac:dyDescent="0.25">
      <c r="C23" s="27" t="s">
        <v>0</v>
      </c>
      <c r="D23" s="27" t="s">
        <v>17</v>
      </c>
      <c r="E23" s="86" t="s">
        <v>120</v>
      </c>
      <c r="F23" s="27" t="s">
        <v>16</v>
      </c>
      <c r="H23" s="29" t="s">
        <v>5</v>
      </c>
      <c r="I23" s="29" t="s">
        <v>4</v>
      </c>
      <c r="J23" s="29" t="s">
        <v>6</v>
      </c>
      <c r="K23" s="29" t="s">
        <v>7</v>
      </c>
      <c r="Q23" s="26"/>
      <c r="R23" s="24"/>
    </row>
    <row r="24" spans="3:18" x14ac:dyDescent="0.25">
      <c r="C24" s="50" t="s">
        <v>22</v>
      </c>
      <c r="D24" s="61">
        <v>31</v>
      </c>
      <c r="E24" s="2">
        <v>5.74</v>
      </c>
      <c r="F24" s="124">
        <f>ROUNDDOWN($M$5*$O$5*E24*D24,0)</f>
        <v>330</v>
      </c>
      <c r="H24" s="31">
        <f>'Desglose energía'!L4</f>
        <v>1.0629999999999999</v>
      </c>
      <c r="I24" s="31">
        <f>'Desglose energía'!M4</f>
        <v>1.29</v>
      </c>
      <c r="J24" s="31">
        <f>'Desglose energía'!N4</f>
        <v>0</v>
      </c>
      <c r="K24" s="31">
        <f>'Desglose energía'!O4</f>
        <v>3.7770000000000001</v>
      </c>
      <c r="Q24" s="26"/>
      <c r="R24" s="24"/>
    </row>
    <row r="25" spans="3:18" x14ac:dyDescent="0.25">
      <c r="C25" s="37" t="s">
        <v>23</v>
      </c>
      <c r="D25" s="52">
        <v>28</v>
      </c>
      <c r="E25" s="170">
        <v>6.57</v>
      </c>
      <c r="F25" s="54">
        <f t="shared" ref="F25:F35" si="2">ROUNDDOWN($M$5*$O$5*E25*D25,0)</f>
        <v>342</v>
      </c>
      <c r="G25" s="24"/>
      <c r="H25" s="32">
        <f>'Desglose energía'!L5</f>
        <v>1.0629999999999999</v>
      </c>
      <c r="I25" s="32">
        <f>'Desglose energía'!M5</f>
        <v>1.29</v>
      </c>
      <c r="J25" s="32">
        <f>'Desglose energía'!N5</f>
        <v>0</v>
      </c>
      <c r="K25" s="32">
        <f>'Desglose energía'!O5</f>
        <v>3.7770000000000001</v>
      </c>
      <c r="Q25" s="26"/>
      <c r="R25" s="24"/>
    </row>
    <row r="26" spans="3:18" x14ac:dyDescent="0.25">
      <c r="C26" s="50" t="s">
        <v>24</v>
      </c>
      <c r="D26" s="61">
        <v>31</v>
      </c>
      <c r="E26" s="2">
        <v>7.3</v>
      </c>
      <c r="F26" s="124">
        <f t="shared" si="2"/>
        <v>420</v>
      </c>
      <c r="G26" s="24"/>
      <c r="H26" s="31">
        <f>'Desglose energía'!L6</f>
        <v>1.0629999999999999</v>
      </c>
      <c r="I26" s="31">
        <f>'Desglose energía'!M6</f>
        <v>1.29</v>
      </c>
      <c r="J26" s="31">
        <f>'Desglose energía'!N6</f>
        <v>0</v>
      </c>
      <c r="K26" s="31">
        <f>'Desglose energía'!O6</f>
        <v>3.7770000000000001</v>
      </c>
    </row>
    <row r="27" spans="3:18" x14ac:dyDescent="0.25">
      <c r="C27" s="37" t="s">
        <v>25</v>
      </c>
      <c r="D27" s="52">
        <v>30</v>
      </c>
      <c r="E27" s="170">
        <v>7.34</v>
      </c>
      <c r="F27" s="54">
        <f t="shared" si="2"/>
        <v>409</v>
      </c>
      <c r="G27" s="24"/>
      <c r="H27" s="32">
        <f>'Desglose energía'!L7</f>
        <v>1.0629999999999999</v>
      </c>
      <c r="I27" s="32">
        <f>'Desglose energía'!M7</f>
        <v>1.29</v>
      </c>
      <c r="J27" s="32">
        <f>'Desglose energía'!N7</f>
        <v>0</v>
      </c>
      <c r="K27" s="32">
        <f>'Desglose energía'!O7</f>
        <v>3.7770000000000001</v>
      </c>
    </row>
    <row r="28" spans="3:18" x14ac:dyDescent="0.25">
      <c r="C28" s="36" t="s">
        <v>26</v>
      </c>
      <c r="D28" s="61">
        <v>31</v>
      </c>
      <c r="E28" s="2">
        <v>7.01</v>
      </c>
      <c r="F28" s="124">
        <f t="shared" si="2"/>
        <v>404</v>
      </c>
      <c r="G28" s="24"/>
      <c r="H28" s="31">
        <f>'Desglose energía'!L8</f>
        <v>0.96499999999999997</v>
      </c>
      <c r="I28" s="31">
        <f>'Desglose energía'!M8</f>
        <v>1.119</v>
      </c>
      <c r="J28" s="31">
        <f>'Desglose energía'!N8</f>
        <v>1.44</v>
      </c>
      <c r="K28" s="31">
        <f>'Desglose energía'!O8</f>
        <v>3.847</v>
      </c>
    </row>
    <row r="29" spans="3:18" x14ac:dyDescent="0.25">
      <c r="C29" s="37" t="s">
        <v>27</v>
      </c>
      <c r="D29" s="52">
        <v>30</v>
      </c>
      <c r="E29" s="170">
        <v>6.06</v>
      </c>
      <c r="F29" s="54">
        <f t="shared" si="2"/>
        <v>338</v>
      </c>
      <c r="G29" s="24"/>
      <c r="H29" s="32">
        <f>'Desglose energía'!L9</f>
        <v>0.96499999999999997</v>
      </c>
      <c r="I29" s="32">
        <f>'Desglose energía'!M9</f>
        <v>1.119</v>
      </c>
      <c r="J29" s="32">
        <f>'Desglose energía'!N9</f>
        <v>1.44</v>
      </c>
      <c r="K29" s="32">
        <f>'Desglose energía'!O9</f>
        <v>3.847</v>
      </c>
    </row>
    <row r="30" spans="3:18" x14ac:dyDescent="0.25">
      <c r="C30" s="36" t="s">
        <v>28</v>
      </c>
      <c r="D30" s="61">
        <v>31</v>
      </c>
      <c r="E30" s="2">
        <v>5.61</v>
      </c>
      <c r="F30" s="124">
        <f t="shared" si="2"/>
        <v>323</v>
      </c>
      <c r="G30" s="24"/>
      <c r="H30" s="31">
        <f>'Desglose energía'!L10</f>
        <v>0.96499999999999997</v>
      </c>
      <c r="I30" s="31">
        <f>'Desglose energía'!M10</f>
        <v>1.119</v>
      </c>
      <c r="J30" s="31">
        <f>'Desglose energía'!N10</f>
        <v>1.44</v>
      </c>
      <c r="K30" s="31">
        <f>'Desglose energía'!O10</f>
        <v>3.847</v>
      </c>
    </row>
    <row r="31" spans="3:18" x14ac:dyDescent="0.25">
      <c r="C31" s="37" t="s">
        <v>29</v>
      </c>
      <c r="D31" s="52">
        <v>31</v>
      </c>
      <c r="E31" s="170">
        <v>5.7</v>
      </c>
      <c r="F31" s="54">
        <f t="shared" si="2"/>
        <v>328</v>
      </c>
      <c r="G31" s="24"/>
      <c r="H31" s="32">
        <f>'Desglose energía'!L11</f>
        <v>0.96499999999999997</v>
      </c>
      <c r="I31" s="32">
        <f>'Desglose energía'!M11</f>
        <v>1.119</v>
      </c>
      <c r="J31" s="32">
        <f>'Desglose energía'!N11</f>
        <v>1.44</v>
      </c>
      <c r="K31" s="32">
        <f>'Desglose energía'!O11</f>
        <v>3.847</v>
      </c>
    </row>
    <row r="32" spans="3:18" x14ac:dyDescent="0.25">
      <c r="C32" s="36" t="s">
        <v>30</v>
      </c>
      <c r="D32" s="61">
        <v>30</v>
      </c>
      <c r="E32" s="2">
        <v>5.47</v>
      </c>
      <c r="F32" s="124">
        <f t="shared" si="2"/>
        <v>305</v>
      </c>
      <c r="G32" s="24"/>
      <c r="H32" s="31">
        <f>'Desglose energía'!L12</f>
        <v>0.96499999999999997</v>
      </c>
      <c r="I32" s="31">
        <f>'Desglose energía'!M12</f>
        <v>1.119</v>
      </c>
      <c r="J32" s="31">
        <f>'Desglose energía'!N12</f>
        <v>1.44</v>
      </c>
      <c r="K32" s="31">
        <f>'Desglose energía'!O12</f>
        <v>3.847</v>
      </c>
    </row>
    <row r="33" spans="3:15" x14ac:dyDescent="0.25">
      <c r="C33" s="37" t="s">
        <v>31</v>
      </c>
      <c r="D33" s="52">
        <v>31</v>
      </c>
      <c r="E33" s="170">
        <v>6.16</v>
      </c>
      <c r="F33" s="54">
        <f t="shared" si="2"/>
        <v>355</v>
      </c>
      <c r="G33" s="24"/>
      <c r="H33" s="32">
        <f>'Desglose energía'!L13</f>
        <v>0.96499999999999997</v>
      </c>
      <c r="I33" s="32">
        <f>'Desglose energía'!M13</f>
        <v>1.119</v>
      </c>
      <c r="J33" s="32">
        <f>'Desglose energía'!N13</f>
        <v>1.44</v>
      </c>
      <c r="K33" s="32">
        <f>'Desglose energía'!O13</f>
        <v>3.847</v>
      </c>
    </row>
    <row r="34" spans="3:15" x14ac:dyDescent="0.25">
      <c r="C34" s="50" t="s">
        <v>32</v>
      </c>
      <c r="D34" s="61">
        <v>30</v>
      </c>
      <c r="E34" s="2">
        <v>6.17</v>
      </c>
      <c r="F34" s="124">
        <f t="shared" si="2"/>
        <v>344</v>
      </c>
      <c r="G34" s="24"/>
      <c r="H34" s="31">
        <f>'Desglose energía'!L14</f>
        <v>1.0629999999999999</v>
      </c>
      <c r="I34" s="31">
        <f>'Desglose energía'!M14</f>
        <v>1.29</v>
      </c>
      <c r="J34" s="31">
        <f>'Desglose energía'!N14</f>
        <v>0</v>
      </c>
      <c r="K34" s="31">
        <f>'Desglose energía'!O14</f>
        <v>3.7770000000000001</v>
      </c>
    </row>
    <row r="35" spans="3:15" x14ac:dyDescent="0.25">
      <c r="C35" s="37" t="s">
        <v>33</v>
      </c>
      <c r="D35" s="52">
        <v>31</v>
      </c>
      <c r="E35" s="170">
        <v>5.64</v>
      </c>
      <c r="F35" s="54">
        <f t="shared" si="2"/>
        <v>325</v>
      </c>
      <c r="G35" s="24"/>
      <c r="H35" s="32">
        <f>'Desglose energía'!L15</f>
        <v>1.0629999999999999</v>
      </c>
      <c r="I35" s="32">
        <f>'Desglose energía'!M15</f>
        <v>1.29</v>
      </c>
      <c r="J35" s="32">
        <f>'Desglose energía'!N15</f>
        <v>0</v>
      </c>
      <c r="K35" s="32">
        <f>'Desglose energía'!O15</f>
        <v>3.7770000000000001</v>
      </c>
    </row>
    <row r="36" spans="3:15" x14ac:dyDescent="0.25">
      <c r="C36" s="27"/>
      <c r="D36" s="27"/>
      <c r="E36" s="125">
        <f>(ROUNDDOWN(AVERAGE(E24:E35),2))</f>
        <v>6.23</v>
      </c>
      <c r="F36" s="27">
        <f>SUM(F24:F35)</f>
        <v>4223</v>
      </c>
    </row>
    <row r="37" spans="3:15" x14ac:dyDescent="0.25">
      <c r="C37" s="27"/>
      <c r="D37" s="27"/>
      <c r="E37" s="27"/>
      <c r="F37" s="27"/>
    </row>
    <row r="38" spans="3:15" x14ac:dyDescent="0.25">
      <c r="M38" s="4"/>
      <c r="N38" s="5"/>
      <c r="O38" s="4"/>
    </row>
    <row r="39" spans="3:15" x14ac:dyDescent="0.25">
      <c r="C39" s="32" t="s">
        <v>0</v>
      </c>
      <c r="D39" s="32" t="s">
        <v>10</v>
      </c>
      <c r="E39" s="32" t="s">
        <v>11</v>
      </c>
      <c r="F39" s="32" t="s">
        <v>12</v>
      </c>
      <c r="G39" s="32" t="s">
        <v>13</v>
      </c>
      <c r="I39" s="32" t="s">
        <v>14</v>
      </c>
      <c r="J39" s="32" t="s">
        <v>15</v>
      </c>
      <c r="M39" s="4"/>
      <c r="N39" s="5"/>
      <c r="O39" s="4"/>
    </row>
    <row r="40" spans="3:15" x14ac:dyDescent="0.25">
      <c r="C40" s="50" t="s">
        <v>22</v>
      </c>
      <c r="D40" s="33">
        <f t="shared" ref="D40:D51" si="3">H6*H24</f>
        <v>0</v>
      </c>
      <c r="E40" s="33">
        <f t="shared" ref="E40:E51" si="4">I6*I24</f>
        <v>0</v>
      </c>
      <c r="F40" s="33">
        <f t="shared" ref="F40:F51" si="5">J6*J24</f>
        <v>0</v>
      </c>
      <c r="G40" s="33">
        <f t="shared" ref="G40:G51" si="6">K6*K24</f>
        <v>0</v>
      </c>
      <c r="I40" s="27">
        <f t="shared" ref="I40:I51" si="7">IF(SUM(D40:G40)&lt;=0,0,SUM(D40:G40))</f>
        <v>0</v>
      </c>
      <c r="J40" s="34">
        <f>ROUNDUP(I40*1.16,2)</f>
        <v>0</v>
      </c>
    </row>
    <row r="41" spans="3:15" x14ac:dyDescent="0.25">
      <c r="C41" s="37" t="s">
        <v>23</v>
      </c>
      <c r="D41" s="38">
        <f t="shared" si="3"/>
        <v>0</v>
      </c>
      <c r="E41" s="38">
        <f t="shared" si="4"/>
        <v>0</v>
      </c>
      <c r="F41" s="38">
        <f t="shared" si="5"/>
        <v>0</v>
      </c>
      <c r="G41" s="38">
        <f t="shared" si="6"/>
        <v>0</v>
      </c>
      <c r="H41" s="24"/>
      <c r="I41" s="29">
        <f t="shared" si="7"/>
        <v>0</v>
      </c>
      <c r="J41" s="39">
        <f t="shared" ref="J41:J51" si="8">ROUNDUP(I41*1.16,2)</f>
        <v>0</v>
      </c>
    </row>
    <row r="42" spans="3:15" x14ac:dyDescent="0.25">
      <c r="C42" s="36" t="s">
        <v>24</v>
      </c>
      <c r="D42" s="33">
        <f t="shared" si="3"/>
        <v>0</v>
      </c>
      <c r="E42" s="33">
        <f t="shared" si="4"/>
        <v>0</v>
      </c>
      <c r="F42" s="33">
        <f t="shared" si="5"/>
        <v>0</v>
      </c>
      <c r="G42" s="33">
        <f t="shared" si="6"/>
        <v>0</v>
      </c>
      <c r="H42" s="24"/>
      <c r="I42" s="27">
        <f t="shared" si="7"/>
        <v>0</v>
      </c>
      <c r="J42" s="34">
        <f t="shared" si="8"/>
        <v>0</v>
      </c>
    </row>
    <row r="43" spans="3:15" x14ac:dyDescent="0.25">
      <c r="C43" s="37" t="s">
        <v>25</v>
      </c>
      <c r="D43" s="38">
        <f t="shared" si="3"/>
        <v>0</v>
      </c>
      <c r="E43" s="38">
        <f t="shared" si="4"/>
        <v>0</v>
      </c>
      <c r="F43" s="38">
        <f t="shared" si="5"/>
        <v>0</v>
      </c>
      <c r="G43" s="38">
        <f t="shared" si="6"/>
        <v>0</v>
      </c>
      <c r="H43" s="24"/>
      <c r="I43" s="29">
        <f t="shared" si="7"/>
        <v>0</v>
      </c>
      <c r="J43" s="39">
        <f t="shared" si="8"/>
        <v>0</v>
      </c>
    </row>
    <row r="44" spans="3:15" x14ac:dyDescent="0.25">
      <c r="C44" s="36" t="s">
        <v>26</v>
      </c>
      <c r="D44" s="33">
        <f t="shared" si="3"/>
        <v>0</v>
      </c>
      <c r="E44" s="33">
        <f t="shared" si="4"/>
        <v>0</v>
      </c>
      <c r="F44" s="33">
        <f>J10*J28</f>
        <v>0</v>
      </c>
      <c r="G44" s="33">
        <f t="shared" si="6"/>
        <v>0</v>
      </c>
      <c r="H44" s="24"/>
      <c r="I44" s="27">
        <f t="shared" si="7"/>
        <v>0</v>
      </c>
      <c r="J44" s="34">
        <f t="shared" si="8"/>
        <v>0</v>
      </c>
    </row>
    <row r="45" spans="3:15" x14ac:dyDescent="0.25">
      <c r="C45" s="37" t="s">
        <v>27</v>
      </c>
      <c r="D45" s="38">
        <f t="shared" si="3"/>
        <v>168.875</v>
      </c>
      <c r="E45" s="38">
        <f t="shared" si="4"/>
        <v>251.77500000000001</v>
      </c>
      <c r="F45" s="38">
        <f t="shared" si="5"/>
        <v>231.84</v>
      </c>
      <c r="G45" s="38">
        <f t="shared" si="6"/>
        <v>0</v>
      </c>
      <c r="H45" s="24"/>
      <c r="I45" s="29">
        <f>IF(SUM(D45:G45)&lt;=0,0,SUM(D45:G45))</f>
        <v>652.49</v>
      </c>
      <c r="J45" s="39">
        <f t="shared" si="8"/>
        <v>756.89</v>
      </c>
    </row>
    <row r="46" spans="3:15" x14ac:dyDescent="0.25">
      <c r="C46" s="36" t="s">
        <v>28</v>
      </c>
      <c r="D46" s="33">
        <f t="shared" si="3"/>
        <v>168.875</v>
      </c>
      <c r="E46" s="33">
        <f t="shared" si="4"/>
        <v>251.77500000000001</v>
      </c>
      <c r="F46" s="33">
        <f>J12*J30</f>
        <v>288</v>
      </c>
      <c r="G46" s="33">
        <f t="shared" si="6"/>
        <v>1950.4290000000001</v>
      </c>
      <c r="H46" s="24"/>
      <c r="I46" s="27">
        <f t="shared" si="7"/>
        <v>2659.0790000000002</v>
      </c>
      <c r="J46" s="34">
        <f t="shared" si="8"/>
        <v>3084.5400000000004</v>
      </c>
    </row>
    <row r="47" spans="3:15" x14ac:dyDescent="0.25">
      <c r="C47" s="37" t="s">
        <v>29</v>
      </c>
      <c r="D47" s="38">
        <f t="shared" si="3"/>
        <v>168.875</v>
      </c>
      <c r="E47" s="38">
        <f t="shared" si="4"/>
        <v>251.77500000000001</v>
      </c>
      <c r="F47" s="38">
        <f t="shared" si="5"/>
        <v>288</v>
      </c>
      <c r="G47" s="38">
        <f t="shared" si="6"/>
        <v>3085.2939999999999</v>
      </c>
      <c r="H47" s="24"/>
      <c r="I47" s="29">
        <f t="shared" si="7"/>
        <v>3793.944</v>
      </c>
      <c r="J47" s="39">
        <f t="shared" si="8"/>
        <v>4400.9800000000005</v>
      </c>
    </row>
    <row r="48" spans="3:15" x14ac:dyDescent="0.25">
      <c r="C48" s="36" t="s">
        <v>30</v>
      </c>
      <c r="D48" s="33">
        <f t="shared" si="3"/>
        <v>168.875</v>
      </c>
      <c r="E48" s="33">
        <f t="shared" si="4"/>
        <v>251.77500000000001</v>
      </c>
      <c r="F48" s="33">
        <f t="shared" si="5"/>
        <v>288</v>
      </c>
      <c r="G48" s="33">
        <f t="shared" si="6"/>
        <v>2331.2820000000002</v>
      </c>
      <c r="H48" s="24"/>
      <c r="I48" s="27">
        <f t="shared" si="7"/>
        <v>3039.9320000000002</v>
      </c>
      <c r="J48" s="34">
        <f t="shared" si="8"/>
        <v>3526.3300000000004</v>
      </c>
    </row>
    <row r="49" spans="2:10" x14ac:dyDescent="0.25">
      <c r="C49" s="37" t="s">
        <v>31</v>
      </c>
      <c r="D49" s="38">
        <f t="shared" si="3"/>
        <v>168.875</v>
      </c>
      <c r="E49" s="38">
        <f t="shared" si="4"/>
        <v>251.77500000000001</v>
      </c>
      <c r="F49" s="38">
        <f t="shared" si="5"/>
        <v>288</v>
      </c>
      <c r="G49" s="38">
        <f t="shared" si="6"/>
        <v>2096.6149999999998</v>
      </c>
      <c r="H49" s="24"/>
      <c r="I49" s="29">
        <f t="shared" si="7"/>
        <v>2805.2649999999999</v>
      </c>
      <c r="J49" s="39">
        <f t="shared" si="8"/>
        <v>3254.11</v>
      </c>
    </row>
    <row r="50" spans="2:10" x14ac:dyDescent="0.25">
      <c r="C50" s="36" t="s">
        <v>32</v>
      </c>
      <c r="D50" s="33">
        <f t="shared" si="3"/>
        <v>79.724999999999994</v>
      </c>
      <c r="E50" s="33">
        <f t="shared" si="4"/>
        <v>161.25</v>
      </c>
      <c r="F50" s="33">
        <f t="shared" si="5"/>
        <v>0</v>
      </c>
      <c r="G50" s="33">
        <f t="shared" si="6"/>
        <v>3353.9760000000001</v>
      </c>
      <c r="H50" s="24"/>
      <c r="I50" s="27">
        <f t="shared" si="7"/>
        <v>3594.951</v>
      </c>
      <c r="J50" s="34">
        <f t="shared" si="8"/>
        <v>4170.1500000000005</v>
      </c>
    </row>
    <row r="51" spans="2:10" x14ac:dyDescent="0.25">
      <c r="C51" s="37" t="s">
        <v>33</v>
      </c>
      <c r="D51" s="38">
        <f t="shared" si="3"/>
        <v>79.724999999999994</v>
      </c>
      <c r="E51" s="38">
        <f t="shared" si="4"/>
        <v>161.25</v>
      </c>
      <c r="F51" s="38">
        <f t="shared" si="5"/>
        <v>0</v>
      </c>
      <c r="G51" s="38">
        <f t="shared" si="6"/>
        <v>169.965</v>
      </c>
      <c r="H51" s="24"/>
      <c r="I51" s="29">
        <f t="shared" si="7"/>
        <v>410.94</v>
      </c>
      <c r="J51" s="39">
        <f t="shared" si="8"/>
        <v>476.7</v>
      </c>
    </row>
    <row r="52" spans="2:10" x14ac:dyDescent="0.25">
      <c r="C52" s="24"/>
      <c r="I52" s="27"/>
      <c r="J52" s="35">
        <f>SUM(J40:J51)</f>
        <v>19669.7</v>
      </c>
    </row>
    <row r="56" spans="2:10" ht="15.75" thickBot="1" x14ac:dyDescent="0.3">
      <c r="D56" s="24">
        <f>SUM(A59:A70)</f>
        <v>0</v>
      </c>
    </row>
    <row r="57" spans="2:10" ht="22.5" thickTop="1" thickBot="1" x14ac:dyDescent="0.4">
      <c r="B57" s="143"/>
      <c r="C57" s="146" t="s">
        <v>111</v>
      </c>
      <c r="D57" s="144"/>
      <c r="E57" s="144"/>
      <c r="F57" s="145"/>
    </row>
    <row r="58" spans="2:10" ht="15.75" thickTop="1" x14ac:dyDescent="0.25">
      <c r="B58" s="137"/>
      <c r="C58" s="128"/>
      <c r="D58" s="128"/>
      <c r="E58" s="128"/>
      <c r="F58" s="129" t="s">
        <v>110</v>
      </c>
    </row>
    <row r="59" spans="2:10" x14ac:dyDescent="0.25">
      <c r="B59" s="130" t="s">
        <v>22</v>
      </c>
      <c r="C59" s="2">
        <f t="shared" ref="C59:C70" si="9">B72</f>
        <v>0</v>
      </c>
      <c r="D59" s="2">
        <f>D6-F24</f>
        <v>-6</v>
      </c>
      <c r="E59" s="2">
        <f t="shared" ref="E59:E70" si="10">IF(AND(C59&gt;0,E72&gt;=C59),0,C59-E72)</f>
        <v>-559</v>
      </c>
      <c r="F59" s="131">
        <f>IF(E59&gt;=0,E59,0)</f>
        <v>0</v>
      </c>
    </row>
    <row r="60" spans="2:10" x14ac:dyDescent="0.25">
      <c r="B60" s="132" t="s">
        <v>23</v>
      </c>
      <c r="C60" s="2">
        <f t="shared" si="9"/>
        <v>0</v>
      </c>
      <c r="D60" s="2">
        <f t="shared" ref="D60:D70" si="11">D7-F25</f>
        <v>-162</v>
      </c>
      <c r="E60" s="2">
        <f t="shared" si="10"/>
        <v>-559</v>
      </c>
      <c r="F60" s="131">
        <f t="shared" ref="F60:F70" si="12">IF(E60&gt;=0,E60,0)</f>
        <v>0</v>
      </c>
    </row>
    <row r="61" spans="2:10" x14ac:dyDescent="0.25">
      <c r="B61" s="130" t="s">
        <v>24</v>
      </c>
      <c r="C61" s="2">
        <f t="shared" si="9"/>
        <v>0</v>
      </c>
      <c r="D61" s="2">
        <f t="shared" si="11"/>
        <v>-232</v>
      </c>
      <c r="E61" s="2">
        <f t="shared" si="10"/>
        <v>-559</v>
      </c>
      <c r="F61" s="131">
        <f t="shared" si="12"/>
        <v>0</v>
      </c>
    </row>
    <row r="62" spans="2:10" x14ac:dyDescent="0.25">
      <c r="B62" s="132" t="s">
        <v>25</v>
      </c>
      <c r="C62" s="2">
        <f t="shared" si="9"/>
        <v>0</v>
      </c>
      <c r="D62" s="2">
        <f t="shared" si="11"/>
        <v>-159</v>
      </c>
      <c r="E62" s="2">
        <f t="shared" si="10"/>
        <v>-559</v>
      </c>
      <c r="F62" s="131">
        <f t="shared" si="12"/>
        <v>0</v>
      </c>
    </row>
    <row r="63" spans="2:10" x14ac:dyDescent="0.25">
      <c r="B63" s="133" t="s">
        <v>26</v>
      </c>
      <c r="C63" s="2">
        <f t="shared" si="9"/>
        <v>108</v>
      </c>
      <c r="D63" s="2">
        <f t="shared" si="11"/>
        <v>108</v>
      </c>
      <c r="E63" s="2">
        <f t="shared" si="10"/>
        <v>0</v>
      </c>
      <c r="F63" s="131">
        <f t="shared" si="12"/>
        <v>0</v>
      </c>
    </row>
    <row r="64" spans="2:10" x14ac:dyDescent="0.25">
      <c r="B64" s="132" t="s">
        <v>27</v>
      </c>
      <c r="C64" s="2">
        <f t="shared" si="9"/>
        <v>1012</v>
      </c>
      <c r="D64" s="2">
        <f t="shared" si="11"/>
        <v>1012</v>
      </c>
      <c r="E64" s="2">
        <f t="shared" si="10"/>
        <v>561</v>
      </c>
      <c r="F64" s="131">
        <f t="shared" si="12"/>
        <v>561</v>
      </c>
    </row>
    <row r="65" spans="2:6" x14ac:dyDescent="0.25">
      <c r="B65" s="133" t="s">
        <v>28</v>
      </c>
      <c r="C65" s="2">
        <f t="shared" si="9"/>
        <v>1107</v>
      </c>
      <c r="D65" s="2">
        <f t="shared" si="11"/>
        <v>1107</v>
      </c>
      <c r="E65" s="2">
        <f t="shared" si="10"/>
        <v>1107</v>
      </c>
      <c r="F65" s="131">
        <f t="shared" si="12"/>
        <v>1107</v>
      </c>
    </row>
    <row r="66" spans="2:6" x14ac:dyDescent="0.25">
      <c r="B66" s="132" t="s">
        <v>29</v>
      </c>
      <c r="C66" s="2">
        <f t="shared" si="9"/>
        <v>1402</v>
      </c>
      <c r="D66" s="2">
        <f t="shared" si="11"/>
        <v>1402</v>
      </c>
      <c r="E66" s="2">
        <f t="shared" si="10"/>
        <v>1402</v>
      </c>
      <c r="F66" s="131">
        <f t="shared" si="12"/>
        <v>1402</v>
      </c>
    </row>
    <row r="67" spans="2:6" x14ac:dyDescent="0.25">
      <c r="B67" s="133" t="s">
        <v>30</v>
      </c>
      <c r="C67" s="2">
        <f t="shared" si="9"/>
        <v>1206</v>
      </c>
      <c r="D67" s="2">
        <f t="shared" si="11"/>
        <v>1206</v>
      </c>
      <c r="E67" s="2">
        <f t="shared" si="10"/>
        <v>1206</v>
      </c>
      <c r="F67" s="131">
        <f t="shared" si="12"/>
        <v>1206</v>
      </c>
    </row>
    <row r="68" spans="2:6" x14ac:dyDescent="0.25">
      <c r="B68" s="132" t="s">
        <v>31</v>
      </c>
      <c r="C68" s="2">
        <f t="shared" si="9"/>
        <v>1145</v>
      </c>
      <c r="D68" s="2">
        <f t="shared" si="11"/>
        <v>1145</v>
      </c>
      <c r="E68" s="2">
        <f t="shared" si="10"/>
        <v>1145</v>
      </c>
      <c r="F68" s="131">
        <f t="shared" si="12"/>
        <v>1145</v>
      </c>
    </row>
    <row r="69" spans="2:6" x14ac:dyDescent="0.25">
      <c r="B69" s="130" t="s">
        <v>32</v>
      </c>
      <c r="C69" s="2">
        <f t="shared" si="9"/>
        <v>1088</v>
      </c>
      <c r="D69" s="2">
        <f t="shared" si="11"/>
        <v>1088</v>
      </c>
      <c r="E69" s="2">
        <f t="shared" si="10"/>
        <v>1088</v>
      </c>
      <c r="F69" s="131">
        <f t="shared" si="12"/>
        <v>1088</v>
      </c>
    </row>
    <row r="70" spans="2:6" x14ac:dyDescent="0.25">
      <c r="B70" s="134" t="s">
        <v>33</v>
      </c>
      <c r="C70" s="2">
        <f t="shared" si="9"/>
        <v>245</v>
      </c>
      <c r="D70" s="2">
        <f t="shared" si="11"/>
        <v>245</v>
      </c>
      <c r="E70" s="2">
        <f t="shared" si="10"/>
        <v>245</v>
      </c>
      <c r="F70" s="131">
        <f t="shared" si="12"/>
        <v>245</v>
      </c>
    </row>
    <row r="71" spans="2:6" x14ac:dyDescent="0.25">
      <c r="B71" s="138"/>
      <c r="C71" s="139"/>
      <c r="D71" s="139"/>
      <c r="E71" s="139"/>
      <c r="F71" s="140">
        <f>SUM(F59:F70)</f>
        <v>6754</v>
      </c>
    </row>
    <row r="72" spans="2:6" x14ac:dyDescent="0.25">
      <c r="B72" s="147">
        <f>IF(F24&gt;=D6,0,D6-F24)</f>
        <v>0</v>
      </c>
      <c r="C72" s="139"/>
      <c r="D72" s="2">
        <f>IF(D59&lt;0,D59*-1,0)</f>
        <v>6</v>
      </c>
      <c r="E72" s="127">
        <f>SUM(D72:D83)</f>
        <v>559</v>
      </c>
      <c r="F72" s="141"/>
    </row>
    <row r="73" spans="2:6" x14ac:dyDescent="0.25">
      <c r="B73" s="147">
        <f t="shared" ref="B72:B83" si="13">IF(F25&gt;=D7,0,D7-F25)</f>
        <v>0</v>
      </c>
      <c r="C73" s="139"/>
      <c r="D73" s="2">
        <f t="shared" ref="D73:D83" si="14">IF(D60&lt;0,D60*-1,0)</f>
        <v>162</v>
      </c>
      <c r="E73" s="127">
        <f t="shared" ref="E73:E83" si="15">IF(E72-C59&gt;0,E72-C59,0)</f>
        <v>559</v>
      </c>
      <c r="F73" s="141"/>
    </row>
    <row r="74" spans="2:6" x14ac:dyDescent="0.25">
      <c r="B74" s="147">
        <f t="shared" si="13"/>
        <v>0</v>
      </c>
      <c r="C74" s="139"/>
      <c r="D74" s="2">
        <f t="shared" si="14"/>
        <v>232</v>
      </c>
      <c r="E74" s="127">
        <f t="shared" si="15"/>
        <v>559</v>
      </c>
      <c r="F74" s="141">
        <f>D63-E74</f>
        <v>-451</v>
      </c>
    </row>
    <row r="75" spans="2:6" x14ac:dyDescent="0.25">
      <c r="B75" s="147">
        <f t="shared" si="13"/>
        <v>0</v>
      </c>
      <c r="C75" s="139"/>
      <c r="D75" s="2">
        <f t="shared" si="14"/>
        <v>159</v>
      </c>
      <c r="E75" s="127">
        <f t="shared" si="15"/>
        <v>559</v>
      </c>
      <c r="F75" s="141"/>
    </row>
    <row r="76" spans="2:6" x14ac:dyDescent="0.25">
      <c r="B76" s="147">
        <f t="shared" si="13"/>
        <v>108</v>
      </c>
      <c r="C76" s="139"/>
      <c r="D76" s="2">
        <f t="shared" si="14"/>
        <v>0</v>
      </c>
      <c r="E76" s="127">
        <f t="shared" si="15"/>
        <v>559</v>
      </c>
      <c r="F76" s="141"/>
    </row>
    <row r="77" spans="2:6" x14ac:dyDescent="0.25">
      <c r="B77" s="147">
        <f t="shared" si="13"/>
        <v>1012</v>
      </c>
      <c r="C77" s="139"/>
      <c r="D77" s="2">
        <f t="shared" si="14"/>
        <v>0</v>
      </c>
      <c r="E77" s="127">
        <f t="shared" si="15"/>
        <v>451</v>
      </c>
      <c r="F77" s="141"/>
    </row>
    <row r="78" spans="2:6" x14ac:dyDescent="0.25">
      <c r="B78" s="147">
        <f t="shared" si="13"/>
        <v>1107</v>
      </c>
      <c r="C78" s="139"/>
      <c r="D78" s="2">
        <f t="shared" si="14"/>
        <v>0</v>
      </c>
      <c r="E78" s="127">
        <f t="shared" si="15"/>
        <v>0</v>
      </c>
      <c r="F78" s="141"/>
    </row>
    <row r="79" spans="2:6" x14ac:dyDescent="0.25">
      <c r="B79" s="147">
        <f t="shared" si="13"/>
        <v>1402</v>
      </c>
      <c r="C79" s="139"/>
      <c r="D79" s="2">
        <f t="shared" si="14"/>
        <v>0</v>
      </c>
      <c r="E79" s="127">
        <f t="shared" si="15"/>
        <v>0</v>
      </c>
      <c r="F79" s="141"/>
    </row>
    <row r="80" spans="2:6" x14ac:dyDescent="0.25">
      <c r="B80" s="147">
        <f t="shared" si="13"/>
        <v>1206</v>
      </c>
      <c r="C80" s="139"/>
      <c r="D80" s="2">
        <f t="shared" si="14"/>
        <v>0</v>
      </c>
      <c r="E80" s="127">
        <f t="shared" si="15"/>
        <v>0</v>
      </c>
      <c r="F80" s="141"/>
    </row>
    <row r="81" spans="2:6" x14ac:dyDescent="0.25">
      <c r="B81" s="147">
        <f t="shared" si="13"/>
        <v>1145</v>
      </c>
      <c r="C81" s="139"/>
      <c r="D81" s="2">
        <f t="shared" si="14"/>
        <v>0</v>
      </c>
      <c r="E81" s="127">
        <f t="shared" si="15"/>
        <v>0</v>
      </c>
      <c r="F81" s="141"/>
    </row>
    <row r="82" spans="2:6" x14ac:dyDescent="0.25">
      <c r="B82" s="147">
        <f t="shared" si="13"/>
        <v>1088</v>
      </c>
      <c r="C82" s="171">
        <f>SUM(B72:B83)</f>
        <v>7313</v>
      </c>
      <c r="D82" s="2">
        <f t="shared" si="14"/>
        <v>0</v>
      </c>
      <c r="E82" s="127">
        <f t="shared" si="15"/>
        <v>0</v>
      </c>
      <c r="F82" s="141"/>
    </row>
    <row r="83" spans="2:6" ht="15.75" thickBot="1" x14ac:dyDescent="0.3">
      <c r="B83" s="148">
        <f t="shared" si="13"/>
        <v>245</v>
      </c>
      <c r="C83" s="139">
        <f>D19-C82</f>
        <v>3664</v>
      </c>
      <c r="D83" s="135">
        <f t="shared" si="14"/>
        <v>0</v>
      </c>
      <c r="E83" s="136">
        <f t="shared" si="15"/>
        <v>0</v>
      </c>
      <c r="F83" s="142"/>
    </row>
    <row r="84" spans="2:6" ht="15.75" thickTop="1" x14ac:dyDescent="0.25"/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D1D3-1D0A-4BD1-858C-ACA1E78AF34F}">
  <dimension ref="B8:J26"/>
  <sheetViews>
    <sheetView topLeftCell="A6" zoomScale="126" zoomScaleNormal="130" workbookViewId="0">
      <selection activeCell="I22" sqref="I22"/>
    </sheetView>
  </sheetViews>
  <sheetFormatPr baseColWidth="10" defaultRowHeight="15" x14ac:dyDescent="0.25"/>
  <cols>
    <col min="2" max="2" width="13.5703125" bestFit="1" customWidth="1"/>
    <col min="4" max="4" width="18.42578125" customWidth="1"/>
    <col min="5" max="5" width="20.140625" customWidth="1"/>
    <col min="6" max="6" width="16.28515625" customWidth="1"/>
    <col min="7" max="7" width="18.140625" customWidth="1"/>
    <col min="10" max="10" width="17.28515625" customWidth="1"/>
  </cols>
  <sheetData>
    <row r="8" spans="5:10" ht="45" x14ac:dyDescent="0.25">
      <c r="E8" s="9" t="s">
        <v>0</v>
      </c>
      <c r="F8" s="9" t="s">
        <v>37</v>
      </c>
      <c r="G8" s="10" t="s">
        <v>38</v>
      </c>
      <c r="H8" s="10" t="s">
        <v>39</v>
      </c>
      <c r="I8" s="10" t="s">
        <v>40</v>
      </c>
      <c r="J8" s="10" t="s">
        <v>41</v>
      </c>
    </row>
    <row r="9" spans="5:10" x14ac:dyDescent="0.25">
      <c r="E9" t="s">
        <v>2</v>
      </c>
      <c r="F9">
        <f>'Con FV'!D6</f>
        <v>324</v>
      </c>
      <c r="G9">
        <f>'Con FV'!F24</f>
        <v>330</v>
      </c>
      <c r="H9" s="7">
        <f>'Desglose energía'!J20</f>
        <v>822.81467999999995</v>
      </c>
      <c r="I9" s="7">
        <f>'Con FV'!J40</f>
        <v>0</v>
      </c>
      <c r="J9" s="7">
        <f>H9-I9</f>
        <v>822.81467999999995</v>
      </c>
    </row>
    <row r="10" spans="5:10" x14ac:dyDescent="0.25">
      <c r="E10" s="12" t="s">
        <v>42</v>
      </c>
      <c r="F10" s="12">
        <f>'Con FV'!D7</f>
        <v>180</v>
      </c>
      <c r="G10" s="12">
        <f>'Con FV'!F25</f>
        <v>342</v>
      </c>
      <c r="H10" s="13">
        <f>'Desglose energía'!J21</f>
        <v>249.60300000000001</v>
      </c>
      <c r="I10" s="13">
        <f>'Con FV'!J41</f>
        <v>0</v>
      </c>
      <c r="J10" s="13">
        <f t="shared" ref="J10:J20" si="0">H10-I10</f>
        <v>249.60300000000001</v>
      </c>
    </row>
    <row r="11" spans="5:10" x14ac:dyDescent="0.25">
      <c r="E11" t="s">
        <v>43</v>
      </c>
      <c r="F11">
        <f>'Con FV'!D8</f>
        <v>188</v>
      </c>
      <c r="G11">
        <f>'Con FV'!F26</f>
        <v>420</v>
      </c>
      <c r="H11" s="7">
        <f>'Desglose energía'!J22</f>
        <v>261.57419999999996</v>
      </c>
      <c r="I11" s="7">
        <f>'Con FV'!J42</f>
        <v>0</v>
      </c>
      <c r="J11" s="7">
        <f t="shared" si="0"/>
        <v>261.57419999999996</v>
      </c>
    </row>
    <row r="12" spans="5:10" x14ac:dyDescent="0.25">
      <c r="E12" s="12" t="s">
        <v>44</v>
      </c>
      <c r="F12" s="12">
        <f>'Con FV'!D9</f>
        <v>250</v>
      </c>
      <c r="G12" s="12">
        <f>'Con FV'!F27</f>
        <v>409</v>
      </c>
      <c r="H12" s="13">
        <f>'Desglose energía'!J23</f>
        <v>498.59699999999998</v>
      </c>
      <c r="I12" s="13">
        <f>'Con FV'!J43</f>
        <v>0</v>
      </c>
      <c r="J12" s="13">
        <f t="shared" si="0"/>
        <v>498.59699999999998</v>
      </c>
    </row>
    <row r="13" spans="5:10" x14ac:dyDescent="0.25">
      <c r="E13" t="s">
        <v>45</v>
      </c>
      <c r="F13">
        <f>'Con FV'!D10</f>
        <v>512</v>
      </c>
      <c r="G13">
        <f>'Con FV'!F28</f>
        <v>404</v>
      </c>
      <c r="H13" s="7">
        <f>'Desglose energía'!J24</f>
        <v>675.03879999999992</v>
      </c>
      <c r="I13" s="7">
        <f>'Con FV'!J44</f>
        <v>0</v>
      </c>
      <c r="J13" s="7">
        <f t="shared" si="0"/>
        <v>675.03879999999992</v>
      </c>
    </row>
    <row r="14" spans="5:10" x14ac:dyDescent="0.25">
      <c r="E14" s="12" t="s">
        <v>3</v>
      </c>
      <c r="F14" s="12">
        <f>'Con FV'!D11</f>
        <v>1350</v>
      </c>
      <c r="G14" s="12">
        <f>'Con FV'!F29</f>
        <v>338</v>
      </c>
      <c r="H14" s="13">
        <f>'Desglose energía'!J25</f>
        <v>4168.924</v>
      </c>
      <c r="I14" s="13">
        <f>'Con FV'!J45</f>
        <v>756.89</v>
      </c>
      <c r="J14" s="13">
        <f>H14-I14</f>
        <v>3412.0340000000001</v>
      </c>
    </row>
    <row r="15" spans="5:10" x14ac:dyDescent="0.25">
      <c r="E15" t="s">
        <v>46</v>
      </c>
      <c r="F15">
        <f>'Con FV'!D12</f>
        <v>1430</v>
      </c>
      <c r="G15">
        <f>'Con FV'!F30</f>
        <v>323</v>
      </c>
      <c r="H15" s="7">
        <f>'Desglose energía'!J26</f>
        <v>4525.9255999999996</v>
      </c>
      <c r="I15" s="7">
        <f>'Con FV'!J46</f>
        <v>3084.5400000000004</v>
      </c>
      <c r="J15" s="7">
        <f t="shared" si="0"/>
        <v>1441.3855999999992</v>
      </c>
    </row>
    <row r="16" spans="5:10" x14ac:dyDescent="0.25">
      <c r="E16" s="12" t="s">
        <v>47</v>
      </c>
      <c r="F16" s="12">
        <f>'Con FV'!D13</f>
        <v>1730</v>
      </c>
      <c r="G16" s="12">
        <f>'Con FV'!F31</f>
        <v>328</v>
      </c>
      <c r="H16" s="13">
        <f>'Desglose energía'!J27</f>
        <v>5864.681599999999</v>
      </c>
      <c r="I16" s="13">
        <f>'Con FV'!J47</f>
        <v>4400.9800000000005</v>
      </c>
      <c r="J16" s="13">
        <f t="shared" si="0"/>
        <v>1463.7015999999985</v>
      </c>
    </row>
    <row r="17" spans="2:10" x14ac:dyDescent="0.25">
      <c r="E17" t="s">
        <v>48</v>
      </c>
      <c r="F17">
        <f>'Con FV'!D14</f>
        <v>1511</v>
      </c>
      <c r="G17">
        <f>'Con FV'!F32</f>
        <v>305</v>
      </c>
      <c r="H17" s="7">
        <f>'Desglose energía'!J28</f>
        <v>4887.3897199999992</v>
      </c>
      <c r="I17" s="7">
        <f>'Con FV'!J48</f>
        <v>3526.3300000000004</v>
      </c>
      <c r="J17" s="7">
        <f t="shared" si="0"/>
        <v>1361.0597199999988</v>
      </c>
    </row>
    <row r="18" spans="2:10" x14ac:dyDescent="0.25">
      <c r="E18" s="12" t="s">
        <v>49</v>
      </c>
      <c r="F18" s="12">
        <f>'Con FV'!D15</f>
        <v>1500</v>
      </c>
      <c r="G18" s="12">
        <f>'Con FV'!F33</f>
        <v>355</v>
      </c>
      <c r="H18" s="13">
        <f>'Desglose energía'!J29</f>
        <v>4838.3019999999997</v>
      </c>
      <c r="I18" s="13">
        <f>'Con FV'!J49</f>
        <v>3254.11</v>
      </c>
      <c r="J18" s="13">
        <f t="shared" si="0"/>
        <v>1584.1919999999996</v>
      </c>
    </row>
    <row r="19" spans="2:10" x14ac:dyDescent="0.25">
      <c r="E19" t="s">
        <v>50</v>
      </c>
      <c r="F19">
        <f>'Con FV'!D16</f>
        <v>1432</v>
      </c>
      <c r="G19">
        <f>'Con FV'!F34</f>
        <v>344</v>
      </c>
      <c r="H19" s="7">
        <f>'Desglose energía'!J30</f>
        <v>5677.3172400000003</v>
      </c>
      <c r="I19" s="7">
        <f>'Con FV'!J50</f>
        <v>4170.1500000000005</v>
      </c>
      <c r="J19" s="7">
        <f t="shared" si="0"/>
        <v>1507.1672399999998</v>
      </c>
    </row>
    <row r="20" spans="2:10" x14ac:dyDescent="0.25">
      <c r="E20" s="12" t="s">
        <v>51</v>
      </c>
      <c r="F20" s="12">
        <f>'Con FV'!D17</f>
        <v>570</v>
      </c>
      <c r="G20" s="12">
        <f>'Con FV'!F35</f>
        <v>325</v>
      </c>
      <c r="H20" s="13">
        <f>'Desglose energía'!J31</f>
        <v>1900.6193999999998</v>
      </c>
      <c r="I20" s="13">
        <f>'Con FV'!J51</f>
        <v>476.7</v>
      </c>
      <c r="J20" s="13">
        <f t="shared" si="0"/>
        <v>1423.9193999999998</v>
      </c>
    </row>
    <row r="21" spans="2:10" x14ac:dyDescent="0.25">
      <c r="E21" s="107" t="s">
        <v>52</v>
      </c>
      <c r="F21" s="108"/>
      <c r="G21" s="109"/>
      <c r="H21" s="108"/>
      <c r="I21" s="109"/>
      <c r="J21" s="110">
        <f>SUM(J9:J20)</f>
        <v>14701.087239999993</v>
      </c>
    </row>
    <row r="22" spans="2:10" x14ac:dyDescent="0.25">
      <c r="E22" s="111" t="s">
        <v>108</v>
      </c>
      <c r="F22" s="112"/>
      <c r="G22" s="112"/>
      <c r="H22" s="112"/>
      <c r="I22" s="113">
        <f>COSTOS!G24</f>
        <v>2.6799999999999997</v>
      </c>
      <c r="J22" s="114" t="s">
        <v>109</v>
      </c>
    </row>
    <row r="23" spans="2:10" x14ac:dyDescent="0.25">
      <c r="B23" s="7"/>
    </row>
    <row r="24" spans="2:10" x14ac:dyDescent="0.25">
      <c r="B24" s="7"/>
      <c r="D24" s="7"/>
    </row>
    <row r="26" spans="2:10" x14ac:dyDescent="0.25">
      <c r="D2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FB6C-87BA-40D6-9AB8-AE9C90F63BFE}">
  <dimension ref="B3:S35"/>
  <sheetViews>
    <sheetView topLeftCell="A2" zoomScale="85" zoomScaleNormal="220" workbookViewId="0">
      <selection activeCell="H21" sqref="H21"/>
    </sheetView>
  </sheetViews>
  <sheetFormatPr baseColWidth="10" defaultRowHeight="15" x14ac:dyDescent="0.25"/>
  <cols>
    <col min="2" max="2" width="45.5703125" customWidth="1"/>
    <col min="3" max="3" width="22.7109375" customWidth="1"/>
    <col min="4" max="4" width="16" customWidth="1"/>
    <col min="5" max="5" width="8.42578125" customWidth="1"/>
    <col min="6" max="6" width="44.85546875" customWidth="1"/>
    <col min="7" max="7" width="13.28515625" customWidth="1"/>
    <col min="8" max="8" width="28.85546875" customWidth="1"/>
    <col min="9" max="9" width="14.5703125" customWidth="1"/>
    <col min="10" max="10" width="50.7109375" customWidth="1"/>
    <col min="11" max="11" width="35.85546875" customWidth="1"/>
    <col min="12" max="12" width="32" customWidth="1"/>
    <col min="17" max="17" width="34.28515625" customWidth="1"/>
    <col min="18" max="18" width="86.7109375" customWidth="1"/>
  </cols>
  <sheetData>
    <row r="3" spans="2:19" x14ac:dyDescent="0.25">
      <c r="H3" s="7"/>
    </row>
    <row r="5" spans="2:19" ht="45" x14ac:dyDescent="0.25">
      <c r="B5" s="57" t="s">
        <v>83</v>
      </c>
      <c r="C5" s="44"/>
      <c r="D5" s="64" t="s">
        <v>54</v>
      </c>
      <c r="F5" s="67" t="s">
        <v>62</v>
      </c>
      <c r="H5" t="s">
        <v>122</v>
      </c>
      <c r="J5" s="118"/>
      <c r="K5" s="118"/>
      <c r="L5" s="118"/>
      <c r="M5" s="118"/>
      <c r="N5" s="118"/>
      <c r="O5" s="118"/>
      <c r="P5" s="118"/>
      <c r="Q5" s="118"/>
      <c r="R5" s="118"/>
      <c r="S5" s="118"/>
    </row>
    <row r="6" spans="2:19" x14ac:dyDescent="0.25">
      <c r="B6" s="100" t="s">
        <v>121</v>
      </c>
      <c r="C6" s="47"/>
      <c r="D6" s="65">
        <v>0.85</v>
      </c>
      <c r="F6" s="27">
        <f>'Con FV'!M5</f>
        <v>2.48</v>
      </c>
      <c r="J6" s="118"/>
      <c r="K6" s="119"/>
      <c r="L6" s="118"/>
      <c r="M6" s="118"/>
      <c r="N6" s="118"/>
      <c r="O6" s="118"/>
      <c r="P6" s="118"/>
      <c r="Q6" s="118"/>
      <c r="R6" s="118"/>
      <c r="S6" s="118"/>
    </row>
    <row r="7" spans="2:19" x14ac:dyDescent="0.25">
      <c r="F7" s="115"/>
      <c r="H7" s="115"/>
      <c r="J7" s="118"/>
      <c r="K7" s="119"/>
      <c r="L7" s="118"/>
      <c r="M7" s="118"/>
      <c r="N7" s="118"/>
      <c r="O7" s="118"/>
      <c r="P7" s="118"/>
      <c r="Q7" s="118"/>
      <c r="R7" s="118"/>
      <c r="S7" s="118"/>
    </row>
    <row r="8" spans="2:19" x14ac:dyDescent="0.25">
      <c r="B8" s="57" t="s">
        <v>84</v>
      </c>
      <c r="C8" s="44"/>
      <c r="D8" s="66" t="s">
        <v>55</v>
      </c>
      <c r="F8" s="67" t="s">
        <v>53</v>
      </c>
      <c r="H8" s="25"/>
      <c r="J8" s="118"/>
      <c r="K8" s="118"/>
      <c r="L8" s="118"/>
      <c r="M8" s="118"/>
      <c r="N8" s="118"/>
      <c r="O8" s="118"/>
      <c r="P8" s="118"/>
      <c r="Q8" s="118"/>
      <c r="R8" s="118"/>
      <c r="S8" s="118"/>
    </row>
    <row r="9" spans="2:19" x14ac:dyDescent="0.25">
      <c r="B9" s="58" t="s">
        <v>85</v>
      </c>
      <c r="C9" s="47"/>
      <c r="D9" s="63">
        <v>18.6267</v>
      </c>
      <c r="F9" s="34">
        <f>(F6*1000)*D6*D9</f>
        <v>39265.083599999998</v>
      </c>
      <c r="H9" s="116">
        <f>F9*0.25</f>
        <v>9816.2708999999995</v>
      </c>
      <c r="J9" s="118"/>
      <c r="K9" s="118"/>
      <c r="L9" s="118"/>
      <c r="M9" s="118"/>
      <c r="N9" s="118"/>
      <c r="O9" s="118"/>
      <c r="P9" s="118"/>
      <c r="Q9" s="118"/>
      <c r="R9" s="118"/>
      <c r="S9" s="118"/>
    </row>
    <row r="10" spans="2:19" x14ac:dyDescent="0.25">
      <c r="F10" s="7">
        <f>F9*0.25</f>
        <v>9816.2708999999995</v>
      </c>
      <c r="H10" s="25"/>
      <c r="J10" s="118"/>
      <c r="K10" s="118"/>
      <c r="L10" s="118"/>
      <c r="M10" s="118"/>
      <c r="N10" s="118"/>
      <c r="O10" s="118"/>
      <c r="P10" s="118"/>
      <c r="Q10" s="118"/>
      <c r="R10" s="118"/>
      <c r="S10" s="118"/>
    </row>
    <row r="11" spans="2:19" x14ac:dyDescent="0.25">
      <c r="B11" s="117"/>
      <c r="C11" s="159"/>
      <c r="F11" s="7">
        <f>(F10/1.16*0.98)</f>
        <v>8293.05645</v>
      </c>
      <c r="J11" s="120"/>
      <c r="K11" s="118"/>
      <c r="L11" s="118"/>
      <c r="M11" s="118"/>
      <c r="N11" s="118"/>
      <c r="O11" s="118"/>
      <c r="P11" s="118"/>
      <c r="Q11" s="118"/>
      <c r="R11" s="120"/>
      <c r="S11" s="118"/>
    </row>
    <row r="12" spans="2:19" x14ac:dyDescent="0.25">
      <c r="B12" s="157"/>
      <c r="J12" s="118"/>
      <c r="K12" s="118"/>
      <c r="L12" s="118"/>
      <c r="M12" s="118"/>
      <c r="N12" s="118"/>
      <c r="O12" s="118"/>
      <c r="P12" s="118"/>
      <c r="Q12" s="118"/>
      <c r="R12" s="118"/>
      <c r="S12" s="118"/>
    </row>
    <row r="13" spans="2:19" x14ac:dyDescent="0.25">
      <c r="B13" s="157"/>
      <c r="C13" s="162"/>
      <c r="D13" s="163"/>
      <c r="E13" s="163"/>
      <c r="F13" s="163"/>
      <c r="G13" s="164"/>
      <c r="J13" s="118"/>
      <c r="K13" s="118"/>
      <c r="L13" s="118"/>
      <c r="M13" s="118"/>
      <c r="N13" s="118"/>
      <c r="O13" s="118"/>
      <c r="P13" s="118"/>
      <c r="Q13" s="118"/>
      <c r="R13" s="118"/>
      <c r="S13" s="118"/>
    </row>
    <row r="14" spans="2:19" x14ac:dyDescent="0.25">
      <c r="B14" s="158"/>
      <c r="C14" s="165" t="s">
        <v>56</v>
      </c>
      <c r="D14" s="11"/>
      <c r="E14" s="11"/>
      <c r="F14" s="11" t="s">
        <v>14</v>
      </c>
      <c r="G14" s="166"/>
      <c r="J14" s="118"/>
      <c r="K14" s="118"/>
      <c r="L14" s="118"/>
      <c r="M14" s="118"/>
      <c r="N14" s="118"/>
      <c r="O14" s="118"/>
      <c r="P14" s="118"/>
      <c r="Q14" s="118"/>
      <c r="R14" s="118"/>
      <c r="S14" s="118"/>
    </row>
    <row r="15" spans="2:19" x14ac:dyDescent="0.25">
      <c r="B15" s="158"/>
      <c r="C15" s="165" t="s">
        <v>57</v>
      </c>
      <c r="D15" s="11"/>
      <c r="E15" s="11"/>
      <c r="F15" s="160">
        <f>F6*1000</f>
        <v>2480</v>
      </c>
      <c r="G15" s="166" t="s">
        <v>58</v>
      </c>
      <c r="J15" s="118"/>
      <c r="K15" s="118"/>
      <c r="L15" s="118"/>
      <c r="M15" s="118"/>
      <c r="N15" s="118"/>
      <c r="O15" s="118"/>
      <c r="P15" s="118"/>
      <c r="Q15" s="118"/>
      <c r="R15" s="118"/>
      <c r="S15" s="118"/>
    </row>
    <row r="16" spans="2:19" x14ac:dyDescent="0.25">
      <c r="C16" s="165" t="s">
        <v>107</v>
      </c>
      <c r="D16" s="11"/>
      <c r="E16" s="11"/>
      <c r="F16" s="11">
        <f>D9</f>
        <v>18.6267</v>
      </c>
      <c r="G16" s="166"/>
      <c r="J16" s="118"/>
      <c r="K16" s="118"/>
      <c r="L16" s="118"/>
      <c r="M16" s="118"/>
      <c r="N16" s="118"/>
      <c r="O16" s="118"/>
      <c r="P16" s="118"/>
      <c r="Q16" s="118"/>
      <c r="R16" s="118"/>
      <c r="S16" s="118"/>
    </row>
    <row r="17" spans="3:19" x14ac:dyDescent="0.25">
      <c r="C17" s="165" t="s">
        <v>106</v>
      </c>
      <c r="D17" s="11"/>
      <c r="E17" s="11"/>
      <c r="F17" s="160">
        <f>ROUNDUP(D6/1.16,5)</f>
        <v>0.73275999999999997</v>
      </c>
      <c r="G17" s="166"/>
      <c r="J17" s="118"/>
      <c r="K17" s="118"/>
      <c r="L17" s="118"/>
      <c r="M17" s="118"/>
      <c r="N17" s="118"/>
      <c r="O17" s="118"/>
      <c r="P17" s="118"/>
      <c r="Q17" s="118"/>
      <c r="R17" s="118"/>
      <c r="S17" s="118"/>
    </row>
    <row r="18" spans="3:19" x14ac:dyDescent="0.25">
      <c r="C18" s="165" t="s">
        <v>59</v>
      </c>
      <c r="D18" s="11"/>
      <c r="E18" s="11"/>
      <c r="F18" s="161">
        <f>F15*F17*D9</f>
        <v>33849.273716160002</v>
      </c>
      <c r="G18" s="166"/>
      <c r="H18" s="24"/>
      <c r="J18" s="118"/>
      <c r="K18" s="118"/>
      <c r="L18" s="118"/>
      <c r="M18" s="118"/>
      <c r="N18" s="118"/>
      <c r="O18" s="118"/>
      <c r="P18" s="118"/>
      <c r="Q18" s="118"/>
      <c r="R18" s="118"/>
      <c r="S18" s="118"/>
    </row>
    <row r="19" spans="3:19" x14ac:dyDescent="0.25">
      <c r="C19" s="165" t="s">
        <v>60</v>
      </c>
      <c r="D19" s="11"/>
      <c r="E19" s="11"/>
      <c r="F19" s="156">
        <f>F18*0.16</f>
        <v>5415.8837945856003</v>
      </c>
      <c r="G19" s="194"/>
      <c r="H19" s="24"/>
      <c r="J19" s="118"/>
      <c r="K19" s="118"/>
      <c r="L19" s="118"/>
      <c r="M19" s="118"/>
      <c r="N19" s="118"/>
      <c r="O19" s="118"/>
      <c r="P19" s="118"/>
      <c r="Q19" s="118"/>
      <c r="R19" s="118"/>
      <c r="S19" s="118"/>
    </row>
    <row r="20" spans="3:19" x14ac:dyDescent="0.25">
      <c r="C20" s="167" t="s">
        <v>61</v>
      </c>
      <c r="D20" s="168"/>
      <c r="E20" s="168"/>
      <c r="F20" s="169">
        <f>F18+F19</f>
        <v>39265.157510745601</v>
      </c>
      <c r="G20" s="195"/>
      <c r="J20" s="118"/>
      <c r="K20" s="118"/>
      <c r="L20" s="118"/>
      <c r="M20" s="118"/>
      <c r="N20" s="118"/>
      <c r="O20" s="118"/>
      <c r="P20" s="118"/>
      <c r="Q20" s="118"/>
      <c r="R20" s="118"/>
      <c r="S20" s="118"/>
    </row>
    <row r="21" spans="3:19" x14ac:dyDescent="0.25">
      <c r="J21" s="118"/>
      <c r="K21" s="118"/>
      <c r="L21" s="118"/>
      <c r="M21" s="118"/>
      <c r="N21" s="118"/>
      <c r="O21" s="118"/>
      <c r="P21" s="118"/>
      <c r="Q21" s="118"/>
      <c r="R21" s="118"/>
      <c r="S21" s="118"/>
    </row>
    <row r="22" spans="3:19" x14ac:dyDescent="0.25">
      <c r="J22" s="118"/>
      <c r="K22" s="118"/>
      <c r="L22" s="118"/>
      <c r="M22" s="118"/>
      <c r="N22" s="118"/>
      <c r="O22" s="118"/>
      <c r="P22" s="118"/>
      <c r="Q22" s="118"/>
      <c r="R22" s="118"/>
      <c r="S22" s="118"/>
    </row>
    <row r="23" spans="3:19" x14ac:dyDescent="0.25">
      <c r="G23" s="101" t="s">
        <v>72</v>
      </c>
      <c r="J23" s="118"/>
      <c r="K23" s="118"/>
      <c r="L23" s="118"/>
      <c r="M23" s="118"/>
      <c r="N23" s="118"/>
      <c r="O23" s="118"/>
      <c r="P23" s="118"/>
      <c r="Q23" s="118"/>
      <c r="R23" s="118"/>
      <c r="S23" s="118"/>
    </row>
    <row r="24" spans="3:19" x14ac:dyDescent="0.25">
      <c r="G24" s="85">
        <f>ROUNDUP(F20/'GRÁFICA GENERAL'!J21,2)</f>
        <v>2.6799999999999997</v>
      </c>
      <c r="J24" s="118"/>
      <c r="K24" s="118"/>
      <c r="L24" s="118"/>
      <c r="M24" s="118"/>
      <c r="N24" s="118"/>
      <c r="O24" s="118"/>
      <c r="P24" s="118"/>
      <c r="Q24" s="118"/>
      <c r="R24" s="118"/>
      <c r="S24" s="118"/>
    </row>
    <row r="25" spans="3:19" x14ac:dyDescent="0.25">
      <c r="J25" s="118"/>
      <c r="K25" s="118"/>
      <c r="L25" s="118"/>
      <c r="M25" s="118"/>
      <c r="N25" s="118"/>
      <c r="O25" s="118"/>
      <c r="P25" s="118"/>
      <c r="Q25" s="118"/>
      <c r="R25" s="118"/>
      <c r="S25" s="118"/>
    </row>
    <row r="26" spans="3:19" x14ac:dyDescent="0.25">
      <c r="J26" s="118"/>
      <c r="K26" s="118"/>
      <c r="L26" s="118"/>
      <c r="M26" s="118"/>
      <c r="N26" s="118"/>
      <c r="O26" s="118"/>
      <c r="P26" s="118"/>
      <c r="Q26" s="118"/>
      <c r="R26" s="118"/>
      <c r="S26" s="118"/>
    </row>
    <row r="27" spans="3:19" x14ac:dyDescent="0.25">
      <c r="J27" s="118"/>
      <c r="K27" s="118"/>
      <c r="L27" s="118"/>
      <c r="M27" s="118"/>
      <c r="N27" s="118"/>
      <c r="O27" s="118"/>
      <c r="P27" s="118"/>
      <c r="Q27" s="118"/>
      <c r="R27" s="118"/>
      <c r="S27" s="118"/>
    </row>
    <row r="28" spans="3:19" x14ac:dyDescent="0.25">
      <c r="J28" s="118"/>
      <c r="K28" s="118"/>
      <c r="L28" s="118"/>
      <c r="M28" s="118"/>
      <c r="N28" s="118"/>
      <c r="O28" s="118"/>
      <c r="P28" s="118"/>
      <c r="Q28" s="118"/>
      <c r="R28" s="118"/>
      <c r="S28" s="118"/>
    </row>
    <row r="29" spans="3:19" x14ac:dyDescent="0.25">
      <c r="J29" s="118"/>
      <c r="K29" s="118"/>
      <c r="L29" s="118"/>
      <c r="M29" s="118"/>
      <c r="N29" s="118"/>
      <c r="O29" s="118"/>
      <c r="P29" s="118"/>
      <c r="Q29" s="118"/>
      <c r="R29" s="118"/>
      <c r="S29" s="118"/>
    </row>
    <row r="30" spans="3:19" x14ac:dyDescent="0.25">
      <c r="J30" s="118"/>
      <c r="K30" s="118"/>
      <c r="L30" s="118"/>
      <c r="M30" s="118"/>
      <c r="N30" s="118"/>
      <c r="O30" s="118"/>
      <c r="P30" s="118"/>
      <c r="Q30" s="118"/>
      <c r="R30" s="118"/>
      <c r="S30" s="118"/>
    </row>
    <row r="31" spans="3:19" x14ac:dyDescent="0.25">
      <c r="J31" s="118"/>
      <c r="K31" s="118"/>
      <c r="L31" s="118"/>
      <c r="M31" s="118"/>
      <c r="N31" s="118"/>
      <c r="O31" s="118"/>
      <c r="P31" s="118"/>
      <c r="Q31" s="118"/>
      <c r="R31" s="118"/>
      <c r="S31" s="118"/>
    </row>
    <row r="32" spans="3:19" x14ac:dyDescent="0.25">
      <c r="J32" s="118"/>
      <c r="K32" s="118"/>
      <c r="L32" s="118"/>
      <c r="M32" s="118"/>
      <c r="N32" s="118"/>
      <c r="O32" s="118"/>
      <c r="P32" s="118"/>
      <c r="Q32" s="118"/>
      <c r="R32" s="118"/>
      <c r="S32" s="118"/>
    </row>
    <row r="33" spans="10:19" x14ac:dyDescent="0.25">
      <c r="J33" s="118"/>
      <c r="K33" s="118"/>
      <c r="L33" s="118"/>
      <c r="M33" s="118"/>
      <c r="N33" s="118"/>
      <c r="O33" s="118"/>
      <c r="P33" s="118"/>
      <c r="Q33" s="118"/>
      <c r="R33" s="118"/>
      <c r="S33" s="118"/>
    </row>
    <row r="34" spans="10:19" x14ac:dyDescent="0.25">
      <c r="J34" s="118"/>
      <c r="K34" s="118"/>
      <c r="L34" s="118"/>
      <c r="M34" s="118"/>
      <c r="N34" s="118"/>
      <c r="O34" s="118"/>
      <c r="P34" s="118"/>
      <c r="Q34" s="118"/>
      <c r="R34" s="118"/>
      <c r="S34" s="118"/>
    </row>
    <row r="35" spans="10:19" x14ac:dyDescent="0.25">
      <c r="J35" s="118"/>
      <c r="K35" s="118"/>
      <c r="L35" s="118"/>
      <c r="M35" s="118"/>
      <c r="N35" s="118"/>
      <c r="O35" s="118"/>
      <c r="P35" s="118"/>
      <c r="Q35" s="118"/>
      <c r="R35" s="118"/>
      <c r="S35" s="1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1790-BCAC-4C5C-8EE5-E315870EEFE4}">
  <dimension ref="F3:K30"/>
  <sheetViews>
    <sheetView topLeftCell="A12" zoomScale="92" zoomScaleNormal="85" workbookViewId="0">
      <selection activeCell="I29" sqref="I29"/>
    </sheetView>
  </sheetViews>
  <sheetFormatPr baseColWidth="10" defaultRowHeight="15" x14ac:dyDescent="0.25"/>
  <cols>
    <col min="7" max="7" width="15.85546875" customWidth="1"/>
    <col min="9" max="9" width="20" customWidth="1"/>
    <col min="11" max="11" width="13.42578125" customWidth="1"/>
  </cols>
  <sheetData>
    <row r="3" spans="6:11" ht="15.75" thickBot="1" x14ac:dyDescent="0.3"/>
    <row r="4" spans="6:11" ht="15.75" thickTop="1" x14ac:dyDescent="0.25">
      <c r="F4" s="172" t="s">
        <v>34</v>
      </c>
      <c r="G4" s="173" t="s">
        <v>35</v>
      </c>
      <c r="H4" s="174"/>
      <c r="I4" s="173" t="s">
        <v>36</v>
      </c>
      <c r="J4" s="174"/>
      <c r="K4" s="175" t="s">
        <v>71</v>
      </c>
    </row>
    <row r="5" spans="6:11" x14ac:dyDescent="0.25">
      <c r="F5" s="176">
        <v>1</v>
      </c>
      <c r="G5" s="156">
        <f>'GRÁFICA GENERAL'!J21</f>
        <v>14701.087239999993</v>
      </c>
      <c r="H5" s="11"/>
      <c r="I5" s="156">
        <f>G5</f>
        <v>14701.087239999993</v>
      </c>
      <c r="J5" s="11"/>
      <c r="K5" s="177">
        <v>5</v>
      </c>
    </row>
    <row r="6" spans="6:11" x14ac:dyDescent="0.25">
      <c r="F6" s="176">
        <v>2</v>
      </c>
      <c r="G6" s="156">
        <f>G5*((100+$K$5)/100)</f>
        <v>15436.141601999994</v>
      </c>
      <c r="H6" s="11"/>
      <c r="I6" s="156">
        <f>I5+G6</f>
        <v>30137.22884199999</v>
      </c>
      <c r="J6" s="11"/>
      <c r="K6" s="178"/>
    </row>
    <row r="7" spans="6:11" x14ac:dyDescent="0.25">
      <c r="F7" s="176">
        <v>3</v>
      </c>
      <c r="G7" s="156">
        <f t="shared" ref="G7:G29" si="0">G6*((100+$K$5)/100)</f>
        <v>16207.948682099995</v>
      </c>
      <c r="H7" s="11"/>
      <c r="I7" s="156">
        <f>I6+G7</f>
        <v>46345.177524099985</v>
      </c>
      <c r="J7" s="11"/>
      <c r="K7" s="178"/>
    </row>
    <row r="8" spans="6:11" x14ac:dyDescent="0.25">
      <c r="F8" s="176">
        <v>4</v>
      </c>
      <c r="G8" s="156">
        <f t="shared" si="0"/>
        <v>17018.346116204997</v>
      </c>
      <c r="H8" s="11"/>
      <c r="I8" s="156">
        <f t="shared" ref="I8:I29" si="1">I7+G8</f>
        <v>63363.523640304978</v>
      </c>
      <c r="J8" s="11"/>
      <c r="K8" s="178"/>
    </row>
    <row r="9" spans="6:11" x14ac:dyDescent="0.25">
      <c r="F9" s="176">
        <v>5</v>
      </c>
      <c r="G9" s="156">
        <f t="shared" si="0"/>
        <v>17869.263422015247</v>
      </c>
      <c r="H9" s="11"/>
      <c r="I9" s="156">
        <f t="shared" si="1"/>
        <v>81232.787062320218</v>
      </c>
      <c r="J9" s="11"/>
      <c r="K9" s="178"/>
    </row>
    <row r="10" spans="6:11" x14ac:dyDescent="0.25">
      <c r="F10" s="176">
        <v>6</v>
      </c>
      <c r="G10" s="156">
        <f t="shared" si="0"/>
        <v>18762.726593116011</v>
      </c>
      <c r="H10" s="11"/>
      <c r="I10" s="156">
        <f t="shared" si="1"/>
        <v>99995.513655436225</v>
      </c>
      <c r="J10" s="11"/>
      <c r="K10" s="178"/>
    </row>
    <row r="11" spans="6:11" x14ac:dyDescent="0.25">
      <c r="F11" s="176">
        <v>7</v>
      </c>
      <c r="G11" s="156">
        <f t="shared" si="0"/>
        <v>19700.862922771812</v>
      </c>
      <c r="H11" s="11"/>
      <c r="I11" s="156">
        <f t="shared" si="1"/>
        <v>119696.37657820803</v>
      </c>
      <c r="J11" s="11"/>
      <c r="K11" s="178"/>
    </row>
    <row r="12" spans="6:11" x14ac:dyDescent="0.25">
      <c r="F12" s="176">
        <v>8</v>
      </c>
      <c r="G12" s="156">
        <f t="shared" si="0"/>
        <v>20685.906068910404</v>
      </c>
      <c r="H12" s="11"/>
      <c r="I12" s="156">
        <f t="shared" si="1"/>
        <v>140382.28264711844</v>
      </c>
      <c r="J12" s="11"/>
      <c r="K12" s="178"/>
    </row>
    <row r="13" spans="6:11" x14ac:dyDescent="0.25">
      <c r="F13" s="176">
        <v>9</v>
      </c>
      <c r="G13" s="156">
        <f t="shared" si="0"/>
        <v>21720.201372355925</v>
      </c>
      <c r="H13" s="11"/>
      <c r="I13" s="156">
        <f t="shared" si="1"/>
        <v>162102.48401947436</v>
      </c>
      <c r="J13" s="11"/>
      <c r="K13" s="178"/>
    </row>
    <row r="14" spans="6:11" x14ac:dyDescent="0.25">
      <c r="F14" s="176">
        <v>10</v>
      </c>
      <c r="G14" s="156">
        <f t="shared" si="0"/>
        <v>22806.211440973722</v>
      </c>
      <c r="H14" s="11"/>
      <c r="I14" s="156">
        <f t="shared" si="1"/>
        <v>184908.69546044807</v>
      </c>
      <c r="J14" s="11"/>
      <c r="K14" s="178"/>
    </row>
    <row r="15" spans="6:11" x14ac:dyDescent="0.25">
      <c r="F15" s="176">
        <v>11</v>
      </c>
      <c r="G15" s="156">
        <f t="shared" si="0"/>
        <v>23946.522013022408</v>
      </c>
      <c r="H15" s="11"/>
      <c r="I15" s="156">
        <f t="shared" si="1"/>
        <v>208855.21747347049</v>
      </c>
      <c r="J15" s="11"/>
      <c r="K15" s="178"/>
    </row>
    <row r="16" spans="6:11" x14ac:dyDescent="0.25">
      <c r="F16" s="176">
        <v>12</v>
      </c>
      <c r="G16" s="156">
        <f t="shared" si="0"/>
        <v>25143.848113673528</v>
      </c>
      <c r="H16" s="11"/>
      <c r="I16" s="156">
        <f t="shared" si="1"/>
        <v>233999.06558714402</v>
      </c>
      <c r="J16" s="11"/>
      <c r="K16" s="178"/>
    </row>
    <row r="17" spans="6:11" x14ac:dyDescent="0.25">
      <c r="F17" s="176">
        <v>13</v>
      </c>
      <c r="G17" s="156">
        <f t="shared" si="0"/>
        <v>26401.040519357204</v>
      </c>
      <c r="H17" s="11"/>
      <c r="I17" s="156">
        <f t="shared" si="1"/>
        <v>260400.10610650122</v>
      </c>
      <c r="J17" s="11"/>
      <c r="K17" s="178"/>
    </row>
    <row r="18" spans="6:11" x14ac:dyDescent="0.25">
      <c r="F18" s="176">
        <v>14</v>
      </c>
      <c r="G18" s="156">
        <f t="shared" si="0"/>
        <v>27721.092545325064</v>
      </c>
      <c r="H18" s="11"/>
      <c r="I18" s="156">
        <f t="shared" si="1"/>
        <v>288121.1986518263</v>
      </c>
      <c r="J18" s="11"/>
      <c r="K18" s="178"/>
    </row>
    <row r="19" spans="6:11" x14ac:dyDescent="0.25">
      <c r="F19" s="176">
        <v>15</v>
      </c>
      <c r="G19" s="156">
        <f t="shared" si="0"/>
        <v>29107.147172591318</v>
      </c>
      <c r="H19" s="11"/>
      <c r="I19" s="156">
        <f t="shared" si="1"/>
        <v>317228.3458244176</v>
      </c>
      <c r="J19" s="11"/>
      <c r="K19" s="178"/>
    </row>
    <row r="20" spans="6:11" x14ac:dyDescent="0.25">
      <c r="F20" s="176">
        <v>16</v>
      </c>
      <c r="G20" s="156">
        <f t="shared" si="0"/>
        <v>30562.504531220886</v>
      </c>
      <c r="H20" s="11"/>
      <c r="I20" s="156">
        <f t="shared" si="1"/>
        <v>347790.85035563848</v>
      </c>
      <c r="J20" s="11"/>
      <c r="K20" s="178"/>
    </row>
    <row r="21" spans="6:11" x14ac:dyDescent="0.25">
      <c r="F21" s="176">
        <v>17</v>
      </c>
      <c r="G21" s="156">
        <f t="shared" si="0"/>
        <v>32090.629757781931</v>
      </c>
      <c r="H21" s="11"/>
      <c r="I21" s="156">
        <f t="shared" si="1"/>
        <v>379881.4801134204</v>
      </c>
      <c r="J21" s="11"/>
      <c r="K21" s="178"/>
    </row>
    <row r="22" spans="6:11" x14ac:dyDescent="0.25">
      <c r="F22" s="176">
        <v>18</v>
      </c>
      <c r="G22" s="156">
        <f t="shared" si="0"/>
        <v>33695.161245671028</v>
      </c>
      <c r="H22" s="11"/>
      <c r="I22" s="156">
        <f t="shared" si="1"/>
        <v>413576.64135909145</v>
      </c>
      <c r="J22" s="11"/>
      <c r="K22" s="178"/>
    </row>
    <row r="23" spans="6:11" x14ac:dyDescent="0.25">
      <c r="F23" s="176">
        <v>19</v>
      </c>
      <c r="G23" s="156">
        <f t="shared" si="0"/>
        <v>35379.91930795458</v>
      </c>
      <c r="H23" s="11"/>
      <c r="I23" s="156">
        <f t="shared" si="1"/>
        <v>448956.560667046</v>
      </c>
      <c r="J23" s="11"/>
      <c r="K23" s="178"/>
    </row>
    <row r="24" spans="6:11" x14ac:dyDescent="0.25">
      <c r="F24" s="176">
        <v>20</v>
      </c>
      <c r="G24" s="156">
        <f t="shared" si="0"/>
        <v>37148.915273352308</v>
      </c>
      <c r="H24" s="11"/>
      <c r="I24" s="156">
        <f t="shared" si="1"/>
        <v>486105.47594039829</v>
      </c>
      <c r="J24" s="11"/>
      <c r="K24" s="178"/>
    </row>
    <row r="25" spans="6:11" x14ac:dyDescent="0.25">
      <c r="F25" s="176">
        <v>21</v>
      </c>
      <c r="G25" s="156">
        <f t="shared" si="0"/>
        <v>39006.361037019924</v>
      </c>
      <c r="H25" s="11"/>
      <c r="I25" s="156">
        <f t="shared" si="1"/>
        <v>525111.83697741816</v>
      </c>
      <c r="J25" s="11"/>
      <c r="K25" s="178"/>
    </row>
    <row r="26" spans="6:11" x14ac:dyDescent="0.25">
      <c r="F26" s="176">
        <v>22</v>
      </c>
      <c r="G26" s="156">
        <f t="shared" si="0"/>
        <v>40956.679088870922</v>
      </c>
      <c r="H26" s="11"/>
      <c r="I26" s="156">
        <f t="shared" si="1"/>
        <v>566068.51606628904</v>
      </c>
      <c r="J26" s="11"/>
      <c r="K26" s="178"/>
    </row>
    <row r="27" spans="6:11" x14ac:dyDescent="0.25">
      <c r="F27" s="176">
        <v>23</v>
      </c>
      <c r="G27" s="156">
        <f t="shared" si="0"/>
        <v>43004.513043314473</v>
      </c>
      <c r="H27" s="11"/>
      <c r="I27" s="156">
        <f t="shared" si="1"/>
        <v>609073.02910960349</v>
      </c>
      <c r="J27" s="11"/>
      <c r="K27" s="178"/>
    </row>
    <row r="28" spans="6:11" x14ac:dyDescent="0.25">
      <c r="F28" s="176">
        <v>24</v>
      </c>
      <c r="G28" s="156">
        <f t="shared" si="0"/>
        <v>45154.738695480199</v>
      </c>
      <c r="H28" s="11"/>
      <c r="I28" s="156">
        <f t="shared" si="1"/>
        <v>654227.76780508365</v>
      </c>
      <c r="J28" s="11"/>
      <c r="K28" s="179"/>
    </row>
    <row r="29" spans="6:11" ht="15.75" thickBot="1" x14ac:dyDescent="0.3">
      <c r="F29" s="180">
        <v>25</v>
      </c>
      <c r="G29" s="181">
        <f t="shared" si="0"/>
        <v>47412.475630254208</v>
      </c>
      <c r="H29" s="182"/>
      <c r="I29" s="181">
        <f t="shared" si="1"/>
        <v>701640.24343533791</v>
      </c>
      <c r="J29" s="182"/>
      <c r="K29" s="183"/>
    </row>
    <row r="30" spans="6:11" ht="15.75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8964-F3EF-4FAC-9B72-D8BF4A105A1C}">
  <dimension ref="D3:K27"/>
  <sheetViews>
    <sheetView workbookViewId="0">
      <selection activeCell="L3" sqref="L3:L27"/>
    </sheetView>
  </sheetViews>
  <sheetFormatPr baseColWidth="10" defaultRowHeight="15" x14ac:dyDescent="0.25"/>
  <sheetData>
    <row r="3" spans="4:11" x14ac:dyDescent="0.25">
      <c r="D3" s="184"/>
      <c r="E3" s="185"/>
      <c r="F3" s="185"/>
      <c r="G3" s="185"/>
      <c r="H3" s="185"/>
      <c r="I3" s="185"/>
      <c r="J3" s="185"/>
      <c r="K3" s="186"/>
    </row>
    <row r="4" spans="4:11" x14ac:dyDescent="0.25">
      <c r="D4" s="187"/>
      <c r="E4" s="24"/>
      <c r="F4" s="24"/>
      <c r="G4" s="24"/>
      <c r="H4" s="24"/>
      <c r="I4" s="24"/>
      <c r="J4" s="24"/>
      <c r="K4" s="188"/>
    </row>
    <row r="5" spans="4:11" x14ac:dyDescent="0.25">
      <c r="D5" s="187"/>
      <c r="E5" s="24"/>
      <c r="F5" s="24"/>
      <c r="G5" s="24"/>
      <c r="H5" s="24"/>
      <c r="I5" s="24"/>
      <c r="J5" s="24"/>
      <c r="K5" s="188"/>
    </row>
    <row r="6" spans="4:11" x14ac:dyDescent="0.25">
      <c r="D6" s="187"/>
      <c r="E6" s="192" t="s">
        <v>112</v>
      </c>
      <c r="F6" s="24"/>
      <c r="G6" s="24"/>
      <c r="H6" s="24"/>
      <c r="I6" s="24"/>
      <c r="J6" s="24"/>
      <c r="K6" s="188"/>
    </row>
    <row r="7" spans="4:11" x14ac:dyDescent="0.25">
      <c r="D7" s="187"/>
      <c r="E7" s="192" t="s">
        <v>113</v>
      </c>
      <c r="F7" s="24"/>
      <c r="G7" s="24"/>
      <c r="H7" s="24"/>
      <c r="I7" s="24"/>
      <c r="J7" s="24"/>
      <c r="K7" s="188"/>
    </row>
    <row r="8" spans="4:11" x14ac:dyDescent="0.25">
      <c r="D8" s="187"/>
      <c r="E8" s="192" t="s">
        <v>114</v>
      </c>
      <c r="F8" s="24"/>
      <c r="G8" s="24"/>
      <c r="H8" s="24"/>
      <c r="I8" s="24"/>
      <c r="J8" s="24"/>
      <c r="K8" s="188"/>
    </row>
    <row r="9" spans="4:11" x14ac:dyDescent="0.25">
      <c r="D9" s="187"/>
      <c r="E9" s="192" t="s">
        <v>115</v>
      </c>
      <c r="F9" s="24"/>
      <c r="H9" s="24"/>
      <c r="I9" s="24"/>
      <c r="J9" s="24"/>
      <c r="K9" s="188"/>
    </row>
    <row r="10" spans="4:11" x14ac:dyDescent="0.25">
      <c r="D10" s="187"/>
      <c r="E10" s="24"/>
      <c r="F10" s="24"/>
      <c r="G10" s="24"/>
      <c r="H10" s="24"/>
      <c r="I10" s="24"/>
      <c r="J10" s="24"/>
      <c r="K10" s="188"/>
    </row>
    <row r="11" spans="4:11" x14ac:dyDescent="0.25">
      <c r="D11" s="187"/>
      <c r="E11" s="24"/>
      <c r="F11" s="24"/>
      <c r="G11" s="24"/>
      <c r="H11" s="24"/>
      <c r="I11" s="24"/>
      <c r="J11" s="24"/>
      <c r="K11" s="188"/>
    </row>
    <row r="12" spans="4:11" x14ac:dyDescent="0.25">
      <c r="D12" s="187"/>
      <c r="E12" s="24"/>
      <c r="F12" s="24"/>
      <c r="G12" s="24"/>
      <c r="H12" s="24"/>
      <c r="I12" s="24"/>
      <c r="J12" s="24"/>
      <c r="K12" s="188"/>
    </row>
    <row r="13" spans="4:11" x14ac:dyDescent="0.25">
      <c r="D13" s="187"/>
      <c r="E13" s="24"/>
      <c r="F13" s="24"/>
      <c r="G13" s="24"/>
      <c r="H13" s="24"/>
      <c r="I13" s="24"/>
      <c r="J13" s="24"/>
      <c r="K13" s="188"/>
    </row>
    <row r="14" spans="4:11" x14ac:dyDescent="0.25">
      <c r="D14" s="187"/>
      <c r="E14" s="24"/>
      <c r="F14" s="24"/>
      <c r="G14" s="24"/>
      <c r="H14" s="24"/>
      <c r="I14" s="24"/>
      <c r="J14" s="24"/>
      <c r="K14" s="188"/>
    </row>
    <row r="15" spans="4:11" x14ac:dyDescent="0.25">
      <c r="D15" s="187"/>
      <c r="E15" s="24"/>
      <c r="F15" s="24"/>
      <c r="G15" s="24"/>
      <c r="H15" s="24"/>
      <c r="I15" s="24"/>
      <c r="J15" s="24"/>
      <c r="K15" s="188"/>
    </row>
    <row r="16" spans="4:11" x14ac:dyDescent="0.25">
      <c r="D16" s="187"/>
      <c r="E16" s="24"/>
      <c r="F16" s="24"/>
      <c r="G16" s="24"/>
      <c r="H16" s="24"/>
      <c r="I16" s="24"/>
      <c r="J16" s="24"/>
      <c r="K16" s="188"/>
    </row>
    <row r="17" spans="4:11" x14ac:dyDescent="0.25">
      <c r="D17" s="187"/>
      <c r="E17" s="24"/>
      <c r="F17" s="24"/>
      <c r="G17" s="24"/>
      <c r="H17" s="24"/>
      <c r="I17" s="24"/>
      <c r="J17" s="24"/>
      <c r="K17" s="188"/>
    </row>
    <row r="18" spans="4:11" x14ac:dyDescent="0.25">
      <c r="D18" s="187"/>
      <c r="E18" s="24"/>
      <c r="F18" s="24"/>
      <c r="G18" s="24"/>
      <c r="H18" s="24"/>
      <c r="I18" s="24"/>
      <c r="J18" s="24"/>
      <c r="K18" s="188"/>
    </row>
    <row r="19" spans="4:11" x14ac:dyDescent="0.25">
      <c r="D19" s="187"/>
      <c r="E19" s="24"/>
      <c r="F19" s="24"/>
      <c r="G19" s="24"/>
      <c r="H19" s="24"/>
      <c r="I19" s="24"/>
      <c r="J19" s="24"/>
      <c r="K19" s="188"/>
    </row>
    <row r="20" spans="4:11" x14ac:dyDescent="0.25">
      <c r="D20" s="187"/>
      <c r="E20" s="192" t="s">
        <v>116</v>
      </c>
      <c r="F20" s="24"/>
      <c r="G20" s="24"/>
      <c r="H20" s="24"/>
      <c r="I20" s="24"/>
      <c r="J20" s="24"/>
      <c r="K20" s="188"/>
    </row>
    <row r="21" spans="4:11" x14ac:dyDescent="0.25">
      <c r="D21" s="187"/>
      <c r="E21" s="192" t="s">
        <v>117</v>
      </c>
      <c r="F21" s="24"/>
      <c r="G21" s="24"/>
      <c r="I21" s="24"/>
      <c r="J21" s="24"/>
      <c r="K21" s="188"/>
    </row>
    <row r="22" spans="4:11" x14ac:dyDescent="0.25">
      <c r="D22" s="187"/>
      <c r="E22" s="192" t="s">
        <v>118</v>
      </c>
      <c r="F22" s="24"/>
      <c r="G22" s="24"/>
      <c r="H22" s="24"/>
      <c r="I22" s="24"/>
      <c r="J22" s="24"/>
      <c r="K22" s="188"/>
    </row>
    <row r="23" spans="4:11" x14ac:dyDescent="0.25">
      <c r="D23" s="187"/>
      <c r="E23" s="192" t="s">
        <v>119</v>
      </c>
      <c r="F23" s="24"/>
      <c r="G23" s="24"/>
      <c r="H23" s="24"/>
      <c r="I23" s="24"/>
      <c r="J23" s="24"/>
      <c r="K23" s="188"/>
    </row>
    <row r="24" spans="4:11" x14ac:dyDescent="0.25">
      <c r="D24" s="187"/>
      <c r="E24" s="24"/>
      <c r="F24" s="24"/>
      <c r="G24" s="24"/>
      <c r="H24" s="24"/>
      <c r="I24" s="24"/>
      <c r="J24" s="24"/>
      <c r="K24" s="188"/>
    </row>
    <row r="25" spans="4:11" x14ac:dyDescent="0.25">
      <c r="D25" s="187"/>
      <c r="E25" s="24"/>
      <c r="F25" s="24"/>
      <c r="G25" s="24"/>
      <c r="H25" s="24"/>
      <c r="I25" s="24"/>
      <c r="J25" s="24"/>
      <c r="K25" s="188"/>
    </row>
    <row r="26" spans="4:11" x14ac:dyDescent="0.25">
      <c r="D26" s="187"/>
      <c r="E26" s="24"/>
      <c r="F26" s="24"/>
      <c r="G26" s="24"/>
      <c r="H26" s="24"/>
      <c r="I26" s="24"/>
      <c r="J26" s="24"/>
      <c r="K26" s="188"/>
    </row>
    <row r="27" spans="4:11" x14ac:dyDescent="0.25">
      <c r="D27" s="189"/>
      <c r="E27" s="190"/>
      <c r="F27" s="190"/>
      <c r="G27" s="190"/>
      <c r="H27" s="190"/>
      <c r="I27" s="190"/>
      <c r="J27" s="190"/>
      <c r="K27" s="19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TARIFA</vt:lpstr>
      <vt:lpstr>Desglose energía</vt:lpstr>
      <vt:lpstr>Con FV</vt:lpstr>
      <vt:lpstr>GRÁFICA GENERAL</vt:lpstr>
      <vt:lpstr>COSTOS</vt:lpstr>
      <vt:lpstr>AHORRO ACUMULADO</vt:lpstr>
      <vt:lpstr>Equipos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Alan González</cp:lastModifiedBy>
  <dcterms:created xsi:type="dcterms:W3CDTF">2015-06-05T18:19:34Z</dcterms:created>
  <dcterms:modified xsi:type="dcterms:W3CDTF">2025-10-28T20:23:43Z</dcterms:modified>
</cp:coreProperties>
</file>