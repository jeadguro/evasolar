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ana\OneDrive\Desktop\Documentos Respaldo\PROYECTOS ANIA SOLAR\Curso sistemas fotovoltaicos interconectados\CURSO PREGRABADO TARIFAS ELÉCTRICAS EN BAJA TENSIÓN\"/>
    </mc:Choice>
  </mc:AlternateContent>
  <xr:revisionPtr revIDLastSave="0" documentId="13_ncr:1_{E4512FB2-8E48-4F9E-9AC5-63D7BC5B8D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sglose energía" sheetId="1" r:id="rId1"/>
    <sheet name="CON FV" sheetId="5" r:id="rId2"/>
    <sheet name="GRÁFICA GENERAL " sheetId="6" r:id="rId3"/>
    <sheet name="COSTOS" sheetId="7" r:id="rId4"/>
    <sheet name="Hoja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H5" i="1"/>
  <c r="C25" i="5" s="1"/>
  <c r="H6" i="1"/>
  <c r="H7" i="1"/>
  <c r="H8" i="1"/>
  <c r="C28" i="5" s="1"/>
  <c r="H9" i="1"/>
  <c r="C29" i="5" s="1"/>
  <c r="H10" i="1"/>
  <c r="C30" i="5" s="1"/>
  <c r="H11" i="1"/>
  <c r="C31" i="5" s="1"/>
  <c r="H12" i="1"/>
  <c r="C32" i="5" s="1"/>
  <c r="H13" i="1"/>
  <c r="H14" i="1"/>
  <c r="H15" i="1"/>
  <c r="H4" i="1"/>
  <c r="C24" i="5" s="1"/>
  <c r="F20" i="1"/>
  <c r="C26" i="5"/>
  <c r="C27" i="5"/>
  <c r="C33" i="5"/>
  <c r="C34" i="5"/>
  <c r="C35" i="5"/>
  <c r="H21" i="7" l="1"/>
  <c r="C8" i="5"/>
  <c r="C9" i="5"/>
  <c r="C10" i="5"/>
  <c r="C11" i="5"/>
  <c r="C12" i="5"/>
  <c r="C13" i="5"/>
  <c r="C14" i="5"/>
  <c r="C15" i="5"/>
  <c r="C16" i="5"/>
  <c r="C17" i="5"/>
  <c r="C18" i="5"/>
  <c r="C7" i="5"/>
  <c r="H22" i="7"/>
  <c r="M19" i="5"/>
  <c r="E6" i="7" s="1"/>
  <c r="G6" i="7" s="1"/>
  <c r="G9" i="7" l="1"/>
  <c r="G12" i="7" s="1"/>
  <c r="I3" i="5"/>
  <c r="G19" i="5" l="1"/>
  <c r="E8" i="6"/>
  <c r="E9" i="6"/>
  <c r="E10" i="6"/>
  <c r="E11" i="6"/>
  <c r="E12" i="6"/>
  <c r="E13" i="6"/>
  <c r="E14" i="6"/>
  <c r="E15" i="6"/>
  <c r="E16" i="6"/>
  <c r="E17" i="6"/>
  <c r="E18" i="6"/>
  <c r="E7" i="6"/>
  <c r="J19" i="5"/>
  <c r="K15" i="5" l="1"/>
  <c r="C59" i="5" s="1"/>
  <c r="E59" i="5" s="1"/>
  <c r="F59" i="5" s="1"/>
  <c r="K14" i="5"/>
  <c r="C58" i="5" s="1"/>
  <c r="E58" i="5" s="1"/>
  <c r="F58" i="5" s="1"/>
  <c r="K13" i="5"/>
  <c r="C57" i="5" s="1"/>
  <c r="E57" i="5" s="1"/>
  <c r="F57" i="5" s="1"/>
  <c r="K12" i="5"/>
  <c r="C56" i="5" s="1"/>
  <c r="E56" i="5" s="1"/>
  <c r="F56" i="5" s="1"/>
  <c r="K11" i="5"/>
  <c r="C55" i="5" s="1"/>
  <c r="E55" i="5" s="1"/>
  <c r="F55" i="5" s="1"/>
  <c r="K10" i="5"/>
  <c r="C54" i="5" s="1"/>
  <c r="E54" i="5" s="1"/>
  <c r="F54" i="5" s="1"/>
  <c r="K9" i="5"/>
  <c r="C53" i="5" s="1"/>
  <c r="E53" i="5" s="1"/>
  <c r="F53" i="5" s="1"/>
  <c r="K7" i="5"/>
  <c r="C51" i="5" s="1"/>
  <c r="E51" i="5" s="1"/>
  <c r="K18" i="5"/>
  <c r="C62" i="5" s="1"/>
  <c r="E62" i="5" s="1"/>
  <c r="F62" i="5" s="1"/>
  <c r="K17" i="5"/>
  <c r="C61" i="5" s="1"/>
  <c r="E61" i="5" s="1"/>
  <c r="F61" i="5" s="1"/>
  <c r="K8" i="5"/>
  <c r="C52" i="5" s="1"/>
  <c r="E52" i="5" s="1"/>
  <c r="F52" i="5" s="1"/>
  <c r="K16" i="5"/>
  <c r="C60" i="5" s="1"/>
  <c r="E60" i="5" s="1"/>
  <c r="F60" i="5" s="1"/>
  <c r="C20" i="5"/>
  <c r="M10" i="5" s="1"/>
  <c r="C64" i="5" l="1"/>
  <c r="F10" i="6"/>
  <c r="F11" i="6"/>
  <c r="F16" i="6"/>
  <c r="F12" i="6"/>
  <c r="F8" i="6"/>
  <c r="F13" i="6"/>
  <c r="F17" i="6"/>
  <c r="F14" i="6"/>
  <c r="F18" i="6"/>
  <c r="F15" i="6"/>
  <c r="F7" i="6"/>
  <c r="F9" i="6"/>
  <c r="H20" i="7"/>
  <c r="H23" i="7" s="1"/>
  <c r="H24" i="7" s="1"/>
  <c r="H25" i="7" s="1"/>
  <c r="K19" i="5"/>
  <c r="E64" i="5" l="1"/>
  <c r="H51" i="5" s="1"/>
  <c r="F51" i="5"/>
  <c r="F21" i="1"/>
  <c r="F22" i="1"/>
  <c r="F23" i="1"/>
  <c r="F24" i="1"/>
  <c r="F25" i="1"/>
  <c r="F26" i="1"/>
  <c r="F27" i="1"/>
  <c r="F28" i="1"/>
  <c r="F29" i="1"/>
  <c r="F30" i="1"/>
  <c r="F31" i="1"/>
  <c r="E21" i="1"/>
  <c r="E22" i="1"/>
  <c r="E23" i="1"/>
  <c r="E24" i="1"/>
  <c r="E25" i="1"/>
  <c r="E26" i="1"/>
  <c r="E27" i="1"/>
  <c r="E28" i="1"/>
  <c r="E29" i="1"/>
  <c r="E30" i="1"/>
  <c r="E31" i="1"/>
  <c r="E20" i="1"/>
  <c r="G20" i="1" s="1"/>
  <c r="H20" i="1" s="1"/>
  <c r="D7" i="5" s="1"/>
  <c r="E16" i="1"/>
  <c r="G25" i="1" l="1"/>
  <c r="H25" i="1" s="1"/>
  <c r="D12" i="5" s="1"/>
  <c r="G12" i="6" s="1"/>
  <c r="G31" i="1"/>
  <c r="H31" i="1" s="1"/>
  <c r="D18" i="5" s="1"/>
  <c r="G18" i="6" s="1"/>
  <c r="I51" i="5"/>
  <c r="K51" i="5" s="1"/>
  <c r="E7" i="5" s="1"/>
  <c r="H52" i="5"/>
  <c r="I52" i="5" s="1"/>
  <c r="G24" i="1"/>
  <c r="H24" i="1" s="1"/>
  <c r="D11" i="5" s="1"/>
  <c r="G11" i="6" s="1"/>
  <c r="G23" i="1"/>
  <c r="H23" i="1" s="1"/>
  <c r="D10" i="5" s="1"/>
  <c r="G10" i="6" s="1"/>
  <c r="G22" i="1"/>
  <c r="H22" i="1" s="1"/>
  <c r="D9" i="5" s="1"/>
  <c r="G9" i="6" s="1"/>
  <c r="G30" i="1"/>
  <c r="H30" i="1" s="1"/>
  <c r="D17" i="5" s="1"/>
  <c r="G17" i="6" s="1"/>
  <c r="G29" i="1"/>
  <c r="H29" i="1" s="1"/>
  <c r="D16" i="5" s="1"/>
  <c r="G16" i="6" s="1"/>
  <c r="G21" i="1"/>
  <c r="H21" i="1" s="1"/>
  <c r="D8" i="5" s="1"/>
  <c r="G8" i="6" s="1"/>
  <c r="G28" i="1"/>
  <c r="H28" i="1" s="1"/>
  <c r="D15" i="5" s="1"/>
  <c r="G15" i="6" s="1"/>
  <c r="G27" i="1"/>
  <c r="H27" i="1" s="1"/>
  <c r="D14" i="5" s="1"/>
  <c r="G14" i="6" s="1"/>
  <c r="G26" i="1"/>
  <c r="H26" i="1" s="1"/>
  <c r="D13" i="5" s="1"/>
  <c r="G13" i="6" s="1"/>
  <c r="G7" i="6"/>
  <c r="H53" i="5" l="1"/>
  <c r="K52" i="5"/>
  <c r="E8" i="5" s="1"/>
  <c r="F8" i="5" s="1"/>
  <c r="H8" i="6" s="1"/>
  <c r="I8" i="6" s="1"/>
  <c r="D20" i="5"/>
  <c r="H32" i="1"/>
  <c r="H7" i="6" l="1"/>
  <c r="I7" i="6" s="1"/>
  <c r="I53" i="5"/>
  <c r="K53" i="5" s="1"/>
  <c r="E9" i="5" s="1"/>
  <c r="F9" i="5" s="1"/>
  <c r="H9" i="6" s="1"/>
  <c r="I9" i="6" s="1"/>
  <c r="H54" i="5"/>
  <c r="H55" i="5" l="1"/>
  <c r="I54" i="5"/>
  <c r="K54" i="5" s="1"/>
  <c r="E10" i="5" s="1"/>
  <c r="F10" i="5" l="1"/>
  <c r="H56" i="5"/>
  <c r="I55" i="5"/>
  <c r="K55" i="5" s="1"/>
  <c r="E11" i="5" s="1"/>
  <c r="F11" i="5" s="1"/>
  <c r="H11" i="6" s="1"/>
  <c r="I11" i="6" s="1"/>
  <c r="H10" i="6" l="1"/>
  <c r="I10" i="6" s="1"/>
  <c r="H57" i="5"/>
  <c r="I56" i="5"/>
  <c r="K56" i="5" s="1"/>
  <c r="E12" i="5" s="1"/>
  <c r="F12" i="5" s="1"/>
  <c r="H12" i="6" s="1"/>
  <c r="I12" i="6" s="1"/>
  <c r="H58" i="5" l="1"/>
  <c r="I57" i="5"/>
  <c r="K57" i="5" s="1"/>
  <c r="E13" i="5" s="1"/>
  <c r="F13" i="5" l="1"/>
  <c r="H59" i="5"/>
  <c r="I58" i="5"/>
  <c r="K58" i="5" s="1"/>
  <c r="E14" i="5" s="1"/>
  <c r="F14" i="5" s="1"/>
  <c r="H14" i="6" s="1"/>
  <c r="I14" i="6" s="1"/>
  <c r="H13" i="6" l="1"/>
  <c r="I13" i="6" s="1"/>
  <c r="H60" i="5"/>
  <c r="I59" i="5"/>
  <c r="K59" i="5" s="1"/>
  <c r="E15" i="5" s="1"/>
  <c r="F15" i="5" s="1"/>
  <c r="H15" i="6" s="1"/>
  <c r="I15" i="6" s="1"/>
  <c r="H61" i="5" l="1"/>
  <c r="I60" i="5"/>
  <c r="K60" i="5" s="1"/>
  <c r="E16" i="5" s="1"/>
  <c r="F16" i="5" s="1"/>
  <c r="H16" i="6" s="1"/>
  <c r="I16" i="6" s="1"/>
  <c r="H62" i="5" l="1"/>
  <c r="I62" i="5" s="1"/>
  <c r="K62" i="5" s="1"/>
  <c r="E18" i="5" s="1"/>
  <c r="I61" i="5"/>
  <c r="K61" i="5" s="1"/>
  <c r="E17" i="5" s="1"/>
  <c r="F17" i="5" s="1"/>
  <c r="H17" i="6" s="1"/>
  <c r="I17" i="6" s="1"/>
  <c r="F18" i="5" l="1"/>
  <c r="E20" i="5"/>
  <c r="H18" i="6" l="1"/>
  <c r="I18" i="6" s="1"/>
  <c r="I19" i="6" s="1"/>
  <c r="F20" i="5"/>
  <c r="G5" i="4" l="1"/>
  <c r="H20" i="6"/>
  <c r="G6" i="4" l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I5" i="4"/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</calcChain>
</file>

<file path=xl/sharedStrings.xml><?xml version="1.0" encoding="utf-8"?>
<sst xmlns="http://schemas.openxmlformats.org/spreadsheetml/2006/main" count="135" uniqueCount="76">
  <si>
    <t>Mes</t>
  </si>
  <si>
    <t>Enero</t>
  </si>
  <si>
    <t>Junio</t>
  </si>
  <si>
    <t>Total</t>
  </si>
  <si>
    <t>Total + IVA</t>
  </si>
  <si>
    <t>Generación</t>
  </si>
  <si>
    <t>Días</t>
  </si>
  <si>
    <t>HSP (10°)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</si>
  <si>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</si>
  <si>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</si>
  <si>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</si>
  <si>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</si>
  <si>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</si>
  <si>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</si>
  <si>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</si>
  <si>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</si>
  <si>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</si>
  <si>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</si>
  <si>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</si>
  <si>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</si>
  <si>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AÑO </t>
  </si>
  <si>
    <t xml:space="preserve">AHORRO ANUAL </t>
  </si>
  <si>
    <t xml:space="preserve">AHORRO ACUMULADO </t>
  </si>
  <si>
    <t>Cargo fijo</t>
  </si>
  <si>
    <t>Precio por kWh ($/kWh)</t>
  </si>
  <si>
    <t>Cargo fijo ($)</t>
  </si>
  <si>
    <t>Consumo antes de paneles (kWh)</t>
  </si>
  <si>
    <t>Gasto antes de paneles ($)</t>
  </si>
  <si>
    <t>EFICIENCIA SFV (%)</t>
  </si>
  <si>
    <t>POTENCIA REQUERIDA (KWP)</t>
  </si>
  <si>
    <t>POTENCIA A INSTALAR</t>
  </si>
  <si>
    <t>POTENCIA A INSTALAR (KWP)</t>
  </si>
  <si>
    <t>Consumo nuevo (kWh )</t>
  </si>
  <si>
    <t>Febrero</t>
  </si>
  <si>
    <t>Marzo</t>
  </si>
  <si>
    <t>Abril</t>
  </si>
  <si>
    <t>Mayo</t>
  </si>
  <si>
    <t>Julio</t>
  </si>
  <si>
    <t>Agosto</t>
  </si>
  <si>
    <t>Septiembre</t>
  </si>
  <si>
    <t>Octubre</t>
  </si>
  <si>
    <t>Noviembre</t>
  </si>
  <si>
    <t>Diciembre</t>
  </si>
  <si>
    <t>Consumo histórico (kWh)</t>
  </si>
  <si>
    <t>Energía generada por el sistema (kWh)</t>
  </si>
  <si>
    <t>Pago histórico ($)</t>
  </si>
  <si>
    <t>Pago nuevo ($)</t>
  </si>
  <si>
    <t>Ahorro por periodo ($)</t>
  </si>
  <si>
    <t xml:space="preserve">Ahorro anual </t>
  </si>
  <si>
    <t>COSTO POR WATT (USD /WATT)</t>
  </si>
  <si>
    <t xml:space="preserve">TIPO DE CAMBIO </t>
  </si>
  <si>
    <t xml:space="preserve">COSTO TOTAL (MXN) </t>
  </si>
  <si>
    <t>GASTOS EQUIPOS Y MATERIALES</t>
  </si>
  <si>
    <t>UTILIDAD PREVIA (MXN)</t>
  </si>
  <si>
    <t>UTILIDAD FINAL (MXN)</t>
  </si>
  <si>
    <t xml:space="preserve">Descripción </t>
  </si>
  <si>
    <t xml:space="preserve">tamaño del sistema </t>
  </si>
  <si>
    <t>W</t>
  </si>
  <si>
    <t>Subtotal (MXN)</t>
  </si>
  <si>
    <t>IVA (MXN)</t>
  </si>
  <si>
    <t>TOTAL (MXN)</t>
  </si>
  <si>
    <t xml:space="preserve">Número de paneles </t>
  </si>
  <si>
    <t>Potencia del panel (Wp)</t>
  </si>
  <si>
    <t>Gasto después de paneles solares ($)</t>
  </si>
  <si>
    <t xml:space="preserve">Retorno de inversión </t>
  </si>
  <si>
    <t>años</t>
  </si>
  <si>
    <t xml:space="preserve">Precio dólar/ watt </t>
  </si>
  <si>
    <t>TC (Tipo de cambio DOF)</t>
  </si>
  <si>
    <t>Inflación anual precio energía (%)</t>
  </si>
  <si>
    <t xml:space="preserve">Gasto por mes </t>
  </si>
  <si>
    <t>Excedente</t>
  </si>
  <si>
    <t>NO</t>
  </si>
  <si>
    <t>SI</t>
  </si>
  <si>
    <t>¿Aplica contraprestación?</t>
  </si>
  <si>
    <t>Contraprestación: No modificar*</t>
  </si>
  <si>
    <t>Energía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</si>
</sst>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ptos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3DBFF"/>
        <bgColor indexed="64"/>
      </patternFill>
    </fill>
  </fills>
  <borders count="5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4" tint="-0.249977111117893"/>
      </left>
      <right style="thin">
        <color theme="0"/>
      </right>
      <top style="thin">
        <color theme="4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-0.249977111117893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 style="thin">
        <color theme="4" tint="-0.249977111117893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4" tint="-0.249977111117893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4" tint="-0.249977111117893"/>
      </right>
      <top/>
      <bottom/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0"/>
      </right>
      <top style="thin">
        <color theme="0" tint="-0.34998626667073579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 style="thin">
        <color theme="0" tint="-0.34998626667073579"/>
      </top>
      <bottom style="thin">
        <color theme="0"/>
      </bottom>
      <diagonal/>
    </border>
    <border>
      <left style="thin">
        <color theme="4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 style="thin">
        <color theme="0"/>
      </top>
      <bottom style="thin">
        <color theme="0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theme="4" tint="-0.249977111117893"/>
      </right>
      <top style="thin">
        <color theme="0"/>
      </top>
      <bottom style="thin">
        <color theme="4" tint="-0.249977111117893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 applyAlignment="1">
      <alignment horizontal="center"/>
    </xf>
    <xf numFmtId="4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44" fontId="0" fillId="3" borderId="0" xfId="0" applyNumberFormat="1" applyFill="1"/>
    <xf numFmtId="0" fontId="3" fillId="5" borderId="0" xfId="0" applyFont="1" applyFill="1" applyAlignment="1">
      <alignment wrapText="1"/>
    </xf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3" fillId="5" borderId="0" xfId="0" applyFont="1" applyFill="1"/>
    <xf numFmtId="0" fontId="0" fillId="7" borderId="0" xfId="0" applyFill="1"/>
    <xf numFmtId="44" fontId="0" fillId="7" borderId="0" xfId="0" applyNumberFormat="1" applyFill="1"/>
    <xf numFmtId="0" fontId="0" fillId="0" borderId="2" xfId="0" applyBorder="1"/>
    <xf numFmtId="0" fontId="0" fillId="0" borderId="3" xfId="0" applyBorder="1"/>
    <xf numFmtId="44" fontId="0" fillId="0" borderId="3" xfId="0" applyNumberFormat="1" applyBorder="1"/>
    <xf numFmtId="0" fontId="0" fillId="0" borderId="5" xfId="0" applyBorder="1"/>
    <xf numFmtId="0" fontId="0" fillId="5" borderId="5" xfId="0" applyFill="1" applyBorder="1"/>
    <xf numFmtId="0" fontId="0" fillId="5" borderId="5" xfId="0" applyFill="1" applyBorder="1" applyAlignment="1">
      <alignment wrapText="1"/>
    </xf>
    <xf numFmtId="0" fontId="0" fillId="4" borderId="5" xfId="0" applyFill="1" applyBorder="1"/>
    <xf numFmtId="44" fontId="0" fillId="0" borderId="5" xfId="1" applyFont="1" applyBorder="1"/>
    <xf numFmtId="44" fontId="0" fillId="0" borderId="5" xfId="0" applyNumberFormat="1" applyBorder="1"/>
    <xf numFmtId="0" fontId="0" fillId="0" borderId="4" xfId="0" applyBorder="1" applyAlignment="1">
      <alignment horizontal="right"/>
    </xf>
    <xf numFmtId="44" fontId="0" fillId="0" borderId="4" xfId="1" applyFont="1" applyBorder="1"/>
    <xf numFmtId="44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4" borderId="9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7" fontId="0" fillId="3" borderId="9" xfId="0" applyNumberFormat="1" applyFill="1" applyBorder="1" applyAlignment="1">
      <alignment horizontal="center"/>
    </xf>
    <xf numFmtId="0" fontId="0" fillId="0" borderId="9" xfId="0" applyBorder="1"/>
    <xf numFmtId="0" fontId="0" fillId="6" borderId="9" xfId="0" applyFill="1" applyBorder="1" applyAlignment="1">
      <alignment horizontal="center"/>
    </xf>
    <xf numFmtId="0" fontId="0" fillId="6" borderId="9" xfId="0" applyFill="1" applyBorder="1" applyAlignment="1">
      <alignment horizontal="center" wrapText="1"/>
    </xf>
    <xf numFmtId="0" fontId="0" fillId="6" borderId="9" xfId="0" applyFill="1" applyBorder="1"/>
    <xf numFmtId="44" fontId="0" fillId="3" borderId="9" xfId="1" applyFont="1" applyFill="1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0" fontId="0" fillId="4" borderId="9" xfId="0" applyFill="1" applyBorder="1" applyAlignment="1">
      <alignment wrapText="1"/>
    </xf>
    <xf numFmtId="44" fontId="0" fillId="0" borderId="9" xfId="0" applyNumberFormat="1" applyBorder="1"/>
    <xf numFmtId="0" fontId="0" fillId="4" borderId="9" xfId="0" applyFill="1" applyBorder="1"/>
    <xf numFmtId="0" fontId="0" fillId="5" borderId="9" xfId="0" applyFill="1" applyBorder="1"/>
    <xf numFmtId="44" fontId="0" fillId="0" borderId="9" xfId="1" applyFont="1" applyBorder="1"/>
    <xf numFmtId="17" fontId="0" fillId="0" borderId="9" xfId="0" applyNumberFormat="1" applyBorder="1" applyAlignment="1">
      <alignment horizontal="center"/>
    </xf>
    <xf numFmtId="44" fontId="0" fillId="4" borderId="9" xfId="1" applyFont="1" applyFill="1" applyBorder="1" applyAlignment="1">
      <alignment horizontal="center"/>
    </xf>
    <xf numFmtId="44" fontId="0" fillId="0" borderId="9" xfId="1" applyFont="1" applyBorder="1" applyAlignment="1">
      <alignment horizontal="center"/>
    </xf>
    <xf numFmtId="44" fontId="0" fillId="6" borderId="9" xfId="0" applyNumberFormat="1" applyFill="1" applyBorder="1"/>
    <xf numFmtId="0" fontId="0" fillId="0" borderId="9" xfId="0" applyBorder="1" applyAlignment="1">
      <alignment wrapText="1"/>
    </xf>
    <xf numFmtId="0" fontId="0" fillId="8" borderId="11" xfId="0" applyFill="1" applyBorder="1"/>
    <xf numFmtId="0" fontId="0" fillId="8" borderId="13" xfId="0" applyFill="1" applyBorder="1"/>
    <xf numFmtId="0" fontId="0" fillId="8" borderId="14" xfId="0" applyFill="1" applyBorder="1"/>
    <xf numFmtId="0" fontId="7" fillId="8" borderId="14" xfId="0" applyFont="1" applyFill="1" applyBorder="1" applyAlignment="1">
      <alignment horizontal="right"/>
    </xf>
    <xf numFmtId="0" fontId="7" fillId="8" borderId="15" xfId="0" applyFont="1" applyFill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right"/>
    </xf>
    <xf numFmtId="0" fontId="0" fillId="8" borderId="10" xfId="0" applyFill="1" applyBorder="1"/>
    <xf numFmtId="0" fontId="7" fillId="8" borderId="10" xfId="0" applyFont="1" applyFill="1" applyBorder="1"/>
    <xf numFmtId="44" fontId="7" fillId="8" borderId="12" xfId="0" applyNumberFormat="1" applyFont="1" applyFill="1" applyBorder="1"/>
    <xf numFmtId="0" fontId="0" fillId="9" borderId="5" xfId="0" applyFill="1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30" xfId="0" applyFont="1" applyBorder="1"/>
    <xf numFmtId="0" fontId="0" fillId="0" borderId="31" xfId="0" applyBorder="1"/>
    <xf numFmtId="44" fontId="5" fillId="0" borderId="32" xfId="0" applyNumberFormat="1" applyFont="1" applyBorder="1"/>
    <xf numFmtId="0" fontId="0" fillId="0" borderId="33" xfId="0" applyBorder="1"/>
    <xf numFmtId="0" fontId="0" fillId="5" borderId="23" xfId="0" applyFill="1" applyBorder="1"/>
    <xf numFmtId="44" fontId="0" fillId="0" borderId="23" xfId="0" applyNumberFormat="1" applyBorder="1"/>
    <xf numFmtId="0" fontId="0" fillId="0" borderId="35" xfId="0" applyBorder="1"/>
    <xf numFmtId="0" fontId="0" fillId="0" borderId="36" xfId="0" applyBorder="1"/>
    <xf numFmtId="0" fontId="0" fillId="6" borderId="37" xfId="0" applyFill="1" applyBorder="1"/>
    <xf numFmtId="0" fontId="0" fillId="2" borderId="38" xfId="0" applyFill="1" applyBorder="1"/>
    <xf numFmtId="0" fontId="0" fillId="0" borderId="34" xfId="0" applyBorder="1"/>
    <xf numFmtId="0" fontId="0" fillId="0" borderId="39" xfId="0" applyBorder="1"/>
    <xf numFmtId="0" fontId="0" fillId="0" borderId="40" xfId="0" applyBorder="1"/>
    <xf numFmtId="0" fontId="0" fillId="0" borderId="40" xfId="0" applyBorder="1" applyAlignment="1">
      <alignment horizontal="center"/>
    </xf>
    <xf numFmtId="0" fontId="0" fillId="4" borderId="40" xfId="0" applyFill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6" borderId="41" xfId="0" applyFill="1" applyBorder="1"/>
    <xf numFmtId="0" fontId="0" fillId="6" borderId="43" xfId="0" applyFill="1" applyBorder="1"/>
    <xf numFmtId="0" fontId="0" fillId="6" borderId="44" xfId="0" applyFill="1" applyBorder="1"/>
    <xf numFmtId="0" fontId="0" fillId="6" borderId="45" xfId="0" applyFill="1" applyBorder="1"/>
    <xf numFmtId="0" fontId="0" fillId="6" borderId="47" xfId="0" applyFill="1" applyBorder="1"/>
    <xf numFmtId="0" fontId="0" fillId="6" borderId="48" xfId="0" applyFill="1" applyBorder="1"/>
    <xf numFmtId="0" fontId="0" fillId="6" borderId="49" xfId="0" applyFill="1" applyBorder="1"/>
    <xf numFmtId="0" fontId="0" fillId="6" borderId="46" xfId="0" applyFill="1" applyBorder="1"/>
    <xf numFmtId="0" fontId="0" fillId="6" borderId="50" xfId="0" applyFill="1" applyBorder="1"/>
    <xf numFmtId="0" fontId="0" fillId="6" borderId="51" xfId="0" applyFill="1" applyBorder="1"/>
    <xf numFmtId="0" fontId="0" fillId="6" borderId="52" xfId="0" applyFill="1" applyBorder="1"/>
    <xf numFmtId="0" fontId="8" fillId="6" borderId="51" xfId="0" applyFont="1" applyFill="1" applyBorder="1"/>
    <xf numFmtId="0" fontId="0" fillId="4" borderId="37" xfId="0" applyFill="1" applyBorder="1" applyAlignment="1">
      <alignment wrapText="1"/>
    </xf>
    <xf numFmtId="0" fontId="0" fillId="0" borderId="38" xfId="0" applyBorder="1"/>
    <xf numFmtId="44" fontId="6" fillId="0" borderId="40" xfId="0" applyNumberFormat="1" applyFont="1" applyBorder="1"/>
    <xf numFmtId="0" fontId="0" fillId="6" borderId="3" xfId="0" applyFill="1" applyBorder="1" applyAlignment="1">
      <alignment wrapText="1"/>
    </xf>
    <xf numFmtId="0" fontId="0" fillId="6" borderId="53" xfId="0" applyFill="1" applyBorder="1"/>
    <xf numFmtId="44" fontId="0" fillId="0" borderId="53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Gasto antes y después de paneles solares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 FV'!$B$7:$B$18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'CON FV'!$C$7:$C$18</c:f>
              <c:numCache>
                <c:formatCode>General</c:formatCode>
                <c:ptCount val="12"/>
                <c:pt idx="0">
                  <c:v>607</c:v>
                </c:pt>
                <c:pt idx="1">
                  <c:v>607</c:v>
                </c:pt>
                <c:pt idx="2">
                  <c:v>504</c:v>
                </c:pt>
                <c:pt idx="3">
                  <c:v>504</c:v>
                </c:pt>
                <c:pt idx="4">
                  <c:v>509</c:v>
                </c:pt>
                <c:pt idx="5">
                  <c:v>509</c:v>
                </c:pt>
                <c:pt idx="6">
                  <c:v>535</c:v>
                </c:pt>
                <c:pt idx="7">
                  <c:v>535</c:v>
                </c:pt>
                <c:pt idx="8">
                  <c:v>615</c:v>
                </c:pt>
                <c:pt idx="9">
                  <c:v>615</c:v>
                </c:pt>
                <c:pt idx="10">
                  <c:v>612</c:v>
                </c:pt>
                <c:pt idx="11">
                  <c:v>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0-460F-BFCC-A5DFA3DE84C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 FV'!$B$7:$B$18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'CON FV'!$E$7:$E$18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0-460F-BFCC-A5DFA3DE8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552352"/>
        <c:axId val="1942559552"/>
      </c:lineChart>
      <c:catAx>
        <c:axId val="194255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2559552"/>
        <c:crosses val="autoZero"/>
        <c:auto val="1"/>
        <c:lblAlgn val="ctr"/>
        <c:lblOffset val="100"/>
        <c:noMultiLvlLbl val="0"/>
      </c:catAx>
      <c:valAx>
        <c:axId val="19425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255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Gasto</a:t>
            </a:r>
            <a:r>
              <a:rPr lang="es-MX" baseline="0"/>
              <a:t> antes y después de paneles solares ($)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 FV'!$D$6</c:f>
              <c:strCache>
                <c:ptCount val="1"/>
                <c:pt idx="0">
                  <c:v>Gasto antes de paneles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 FV'!$B$7:$B$18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'CON FV'!$D$7:$D$18</c:f>
              <c:numCache>
                <c:formatCode>_("$"* #,##0.00_);_("$"* \(#,##0.00\);_("$"* "-"??_);_(@_)</c:formatCode>
                <c:ptCount val="12"/>
                <c:pt idx="0">
                  <c:v>2590.1059999999998</c:v>
                </c:pt>
                <c:pt idx="1">
                  <c:v>2590.1059999999998</c:v>
                </c:pt>
                <c:pt idx="2">
                  <c:v>2165.9519999999998</c:v>
                </c:pt>
                <c:pt idx="3">
                  <c:v>2165.9519999999998</c:v>
                </c:pt>
                <c:pt idx="4">
                  <c:v>2186.5419999999995</c:v>
                </c:pt>
                <c:pt idx="5">
                  <c:v>2186.5419999999995</c:v>
                </c:pt>
                <c:pt idx="6">
                  <c:v>2293.6099999999997</c:v>
                </c:pt>
                <c:pt idx="7">
                  <c:v>2293.6099999999997</c:v>
                </c:pt>
                <c:pt idx="8">
                  <c:v>2623.0499999999997</c:v>
                </c:pt>
                <c:pt idx="9">
                  <c:v>2623.0499999999997</c:v>
                </c:pt>
                <c:pt idx="10">
                  <c:v>2610.6959999999999</c:v>
                </c:pt>
                <c:pt idx="11">
                  <c:v>2610.6959999999999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5-4F75-98DF-D761BA830F27}"/>
            </c:ext>
          </c:extLst>
        </c:ser>
        <c:ser>
          <c:idx val="1"/>
          <c:order val="1"/>
          <c:tx>
            <c:strRef>
              <c:f>'CON FV'!$F$6</c:f>
              <c:strCache>
                <c:ptCount val="1"/>
                <c:pt idx="0">
                  <c:v>Gasto después de paneles solares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 FV'!$B$7:$B$18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'CON FV'!$F$7:$F$18</c:f>
              <c:numCache>
                <c:formatCode>_("$"* #,##0.00_);_("$"* \(#,##0.00\);_("$"* "-"??_);_(@_)</c:formatCode>
                <c:ptCount val="12"/>
                <c:pt idx="0">
                  <c:v>90.47999999999999</c:v>
                </c:pt>
                <c:pt idx="1">
                  <c:v>90.47999999999999</c:v>
                </c:pt>
                <c:pt idx="2">
                  <c:v>90.47999999999999</c:v>
                </c:pt>
                <c:pt idx="3">
                  <c:v>90.47999999999999</c:v>
                </c:pt>
                <c:pt idx="4">
                  <c:v>90.47999999999999</c:v>
                </c:pt>
                <c:pt idx="5">
                  <c:v>90.47999999999999</c:v>
                </c:pt>
                <c:pt idx="6">
                  <c:v>90.47999999999999</c:v>
                </c:pt>
                <c:pt idx="7">
                  <c:v>90.47999999999999</c:v>
                </c:pt>
                <c:pt idx="8">
                  <c:v>90.47999999999999</c:v>
                </c:pt>
                <c:pt idx="9">
                  <c:v>90.47999999999999</c:v>
                </c:pt>
                <c:pt idx="10">
                  <c:v>90.47999999999999</c:v>
                </c:pt>
                <c:pt idx="11">
                  <c:v>90.47999999999999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5-4F75-98DF-D761BA83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370288"/>
        <c:axId val="258372208"/>
      </c:lineChart>
      <c:catAx>
        <c:axId val="25837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8372208"/>
        <c:crosses val="autoZero"/>
        <c:auto val="1"/>
        <c:lblAlgn val="ctr"/>
        <c:lblOffset val="100"/>
        <c:noMultiLvlLbl val="0"/>
      </c:catAx>
      <c:valAx>
        <c:axId val="25837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83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236221</xdr:colOff>
      <xdr:row>23</xdr:row>
      <xdr:rowOff>144780</xdr:rowOff>
    </xdr:from>
    <xdr:to>
      <xdr:col>13</xdr:col>
      <xdr:colOff>1053548</xdr:colOff>
      <xdr:row>38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0A1F8F-2F90-6E66-BF20-59CF21907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225287</xdr:colOff>
      <xdr:row>23</xdr:row>
      <xdr:rowOff>134620</xdr:rowOff>
    </xdr:from>
    <xdr:to>
      <xdr:col>10</xdr:col>
      <xdr:colOff>640080</xdr:colOff>
      <xdr:row>38</xdr:row>
      <xdr:rowOff>134620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E56CF3-0A65-11EC-C812-39AAE651D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750042</xdr:colOff>
      <xdr:row>1</xdr:row>
      <xdr:rowOff>77612</xdr:rowOff>
    </xdr:from>
    <xdr:to>
      <xdr:col>11</xdr:col>
      <xdr:colOff>498184</xdr:colOff>
      <xdr:row>15</xdr:row>
      <xdr:rowOff>604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1DCE59-D14F-9BF4-CE41-FC7968EB1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6598" y="261056"/>
          <a:ext cx="4722308" cy="2674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P32"/>
  <sheetViews>
    <sheetView zoomScale="59" zoomScaleNormal="190" workbookViewId="0">
      <selection activeCell="E4" sqref="E4:E15"/>
    </sheetView>
  </sheetViews>
  <sheetFormatPr baseColWidth="10" defaultColWidth="9.140625" defaultRowHeight="15"/>
  <cols>
    <col min="3" max="3" width="7.5703125" customWidth="1"/>
    <col min="4" max="4" width="10.7109375" customWidth="1"/>
    <col min="5" max="5" width="17.28515625" customWidth="1"/>
    <col min="6" max="6" width="14.140625" customWidth="1"/>
    <col min="7" max="7" width="20.7109375" customWidth="1"/>
    <col min="8" max="8" width="17.7109375" customWidth="1"/>
    <col min="9" max="9" width="14.85546875" bestFit="1" customWidth="1"/>
    <col min="10" max="10" width="18.140625" customWidth="1"/>
    <col min="11" max="11" width="14.42578125" customWidth="1"/>
    <col min="12" max="12" width="14.85546875" customWidth="1"/>
    <col min="13" max="13" width="11.42578125" customWidth="1"/>
    <col min="14" max="14" width="15.7109375" customWidth="1"/>
    <col min="15" max="15" width="11.140625" customWidth="1"/>
  </cols>
  <sheetData>
    <row r="3" spans="4:15" ht="30">
      <c r="D3" s="31" t="s">
        <v>0</v>
      </c>
      <c r="E3" s="32" t="s">
        <v>26</v>
      </c>
      <c r="G3" s="33" t="s">
        <v>24</v>
      </c>
      <c r="H3" s="33" t="s">
        <v>25</v>
      </c>
      <c r="J3" s="108" t="s">
        <v>23</v>
      </c>
    </row>
    <row r="4" spans="4:15">
      <c r="D4" s="27" t="s">
        <v>8</v>
      </c>
      <c r="E4" s="28">
        <v>607</v>
      </c>
      <c r="G4" s="34">
        <v>3.55</v>
      </c>
      <c r="H4" s="34">
        <f>$J$4</f>
        <v>78</v>
      </c>
      <c r="J4" s="109">
        <v>78</v>
      </c>
      <c r="M4" s="3"/>
      <c r="O4" s="3"/>
    </row>
    <row r="5" spans="4:15">
      <c r="D5" s="27" t="s">
        <v>9</v>
      </c>
      <c r="E5" s="28">
        <v>607</v>
      </c>
      <c r="G5" s="34">
        <v>3.55</v>
      </c>
      <c r="H5" s="34">
        <f t="shared" ref="H5:H15" si="0">$J$4</f>
        <v>78</v>
      </c>
      <c r="M5" s="3"/>
      <c r="O5" s="3"/>
    </row>
    <row r="6" spans="4:15">
      <c r="D6" s="27" t="s">
        <v>10</v>
      </c>
      <c r="E6" s="28">
        <v>504</v>
      </c>
      <c r="G6" s="34">
        <v>3.55</v>
      </c>
      <c r="H6" s="34">
        <f t="shared" si="0"/>
        <v>78</v>
      </c>
      <c r="M6" s="3"/>
      <c r="O6" s="3"/>
    </row>
    <row r="7" spans="4:15">
      <c r="D7" s="27" t="s">
        <v>11</v>
      </c>
      <c r="E7" s="28">
        <v>504</v>
      </c>
      <c r="G7" s="34">
        <v>3.55</v>
      </c>
      <c r="H7" s="34">
        <f t="shared" si="0"/>
        <v>78</v>
      </c>
      <c r="M7" s="3"/>
      <c r="O7" s="3"/>
    </row>
    <row r="8" spans="4:15">
      <c r="D8" s="29" t="s">
        <v>12</v>
      </c>
      <c r="E8" s="28">
        <v>509</v>
      </c>
      <c r="G8" s="34">
        <v>3.55</v>
      </c>
      <c r="H8" s="34">
        <f t="shared" si="0"/>
        <v>78</v>
      </c>
      <c r="M8" s="3"/>
      <c r="O8" s="3"/>
    </row>
    <row r="9" spans="4:15">
      <c r="D9" s="29" t="s">
        <v>13</v>
      </c>
      <c r="E9" s="28">
        <v>509</v>
      </c>
      <c r="G9" s="34">
        <v>3.55</v>
      </c>
      <c r="H9" s="34">
        <f t="shared" si="0"/>
        <v>78</v>
      </c>
      <c r="M9" s="3"/>
      <c r="O9" s="3"/>
    </row>
    <row r="10" spans="4:15">
      <c r="D10" s="29" t="s">
        <v>14</v>
      </c>
      <c r="E10" s="28">
        <v>535</v>
      </c>
      <c r="G10" s="34">
        <v>3.55</v>
      </c>
      <c r="H10" s="34">
        <f t="shared" si="0"/>
        <v>78</v>
      </c>
      <c r="M10" s="3"/>
      <c r="O10" s="3"/>
    </row>
    <row r="11" spans="4:15">
      <c r="D11" s="29" t="s">
        <v>15</v>
      </c>
      <c r="E11" s="28">
        <v>535</v>
      </c>
      <c r="G11" s="34">
        <v>3.55</v>
      </c>
      <c r="H11" s="34">
        <f t="shared" si="0"/>
        <v>78</v>
      </c>
      <c r="M11" s="3"/>
      <c r="O11" s="3"/>
    </row>
    <row r="12" spans="4:15">
      <c r="D12" s="29" t="s">
        <v>16</v>
      </c>
      <c r="E12" s="28">
        <v>615</v>
      </c>
      <c r="G12" s="34">
        <v>3.55</v>
      </c>
      <c r="H12" s="34">
        <f t="shared" si="0"/>
        <v>78</v>
      </c>
      <c r="M12" s="3"/>
      <c r="O12" s="3"/>
    </row>
    <row r="13" spans="4:15">
      <c r="D13" s="29" t="s">
        <v>17</v>
      </c>
      <c r="E13" s="28">
        <v>615</v>
      </c>
      <c r="G13" s="34">
        <v>3.55</v>
      </c>
      <c r="H13" s="34">
        <f t="shared" si="0"/>
        <v>78</v>
      </c>
      <c r="M13" s="3"/>
      <c r="O13" s="3"/>
    </row>
    <row r="14" spans="4:15">
      <c r="D14" s="27" t="s">
        <v>18</v>
      </c>
      <c r="E14" s="28">
        <v>612</v>
      </c>
      <c r="G14" s="34">
        <v>3.55</v>
      </c>
      <c r="H14" s="34">
        <f t="shared" si="0"/>
        <v>78</v>
      </c>
      <c r="M14" s="3"/>
      <c r="O14" s="3"/>
    </row>
    <row r="15" spans="4:15">
      <c r="D15" s="27" t="s">
        <v>19</v>
      </c>
      <c r="E15" s="28">
        <v>612</v>
      </c>
      <c r="G15" s="34">
        <v>3.55</v>
      </c>
      <c r="H15" s="34">
        <f t="shared" si="0"/>
        <v>78</v>
      </c>
      <c r="M15" s="3"/>
      <c r="O15" s="3"/>
    </row>
    <row r="16" spans="4:15">
      <c r="D16" s="33"/>
      <c r="E16" s="33">
        <f>SUM(E4:E15)</f>
        <v>6764</v>
      </c>
      <c r="F16" s="3"/>
    </row>
    <row r="19" spans="4:16">
      <c r="D19" s="31" t="s">
        <v>0</v>
      </c>
      <c r="E19" s="33" t="s">
        <v>23</v>
      </c>
      <c r="F19" s="33" t="s">
        <v>75</v>
      </c>
      <c r="G19" s="33" t="s">
        <v>3</v>
      </c>
      <c r="H19" s="33" t="s">
        <v>4</v>
      </c>
      <c r="I19" s="4"/>
    </row>
    <row r="20" spans="4:16">
      <c r="D20" s="27" t="s">
        <v>8</v>
      </c>
      <c r="E20" s="37">
        <f>H4</f>
        <v>78</v>
      </c>
      <c r="F20" s="43">
        <f>E4*G4</f>
        <v>2154.85</v>
      </c>
      <c r="G20" s="40">
        <f>E20+F20</f>
        <v>2232.85</v>
      </c>
      <c r="H20" s="40">
        <f>G20*1.16</f>
        <v>2590.1059999999998</v>
      </c>
      <c r="I20" s="5"/>
    </row>
    <row r="21" spans="4:16">
      <c r="D21" s="27" t="s">
        <v>9</v>
      </c>
      <c r="E21" s="37">
        <f t="shared" ref="E21:E31" si="1">H5</f>
        <v>78</v>
      </c>
      <c r="F21" s="43">
        <f t="shared" ref="F21:F31" si="2">E5*G5</f>
        <v>2154.85</v>
      </c>
      <c r="G21" s="40">
        <f t="shared" ref="G21:G31" si="3">E21+F21</f>
        <v>2232.85</v>
      </c>
      <c r="H21" s="40">
        <f t="shared" ref="H21:H31" si="4">G21*1.16</f>
        <v>2590.1059999999998</v>
      </c>
      <c r="I21" s="5"/>
    </row>
    <row r="22" spans="4:16">
      <c r="D22" s="27" t="s">
        <v>10</v>
      </c>
      <c r="E22" s="37">
        <f t="shared" si="1"/>
        <v>78</v>
      </c>
      <c r="F22" s="43">
        <f t="shared" si="2"/>
        <v>1789.1999999999998</v>
      </c>
      <c r="G22" s="40">
        <f t="shared" si="3"/>
        <v>1867.1999999999998</v>
      </c>
      <c r="H22" s="40">
        <f t="shared" si="4"/>
        <v>2165.9519999999998</v>
      </c>
      <c r="I22" s="5"/>
    </row>
    <row r="23" spans="4:16">
      <c r="D23" s="27" t="s">
        <v>11</v>
      </c>
      <c r="E23" s="37">
        <f t="shared" si="1"/>
        <v>78</v>
      </c>
      <c r="F23" s="43">
        <f t="shared" si="2"/>
        <v>1789.1999999999998</v>
      </c>
      <c r="G23" s="40">
        <f t="shared" si="3"/>
        <v>1867.1999999999998</v>
      </c>
      <c r="H23" s="40">
        <f t="shared" si="4"/>
        <v>2165.9519999999998</v>
      </c>
      <c r="I23" s="5"/>
    </row>
    <row r="24" spans="4:16">
      <c r="D24" s="27" t="s">
        <v>12</v>
      </c>
      <c r="E24" s="37">
        <f t="shared" si="1"/>
        <v>78</v>
      </c>
      <c r="F24" s="43">
        <f t="shared" si="2"/>
        <v>1806.9499999999998</v>
      </c>
      <c r="G24" s="40">
        <f t="shared" si="3"/>
        <v>1884.9499999999998</v>
      </c>
      <c r="H24" s="40">
        <f t="shared" si="4"/>
        <v>2186.5419999999995</v>
      </c>
      <c r="I24" s="5"/>
    </row>
    <row r="25" spans="4:16">
      <c r="D25" s="27" t="s">
        <v>13</v>
      </c>
      <c r="E25" s="37">
        <f t="shared" si="1"/>
        <v>78</v>
      </c>
      <c r="F25" s="43">
        <f t="shared" si="2"/>
        <v>1806.9499999999998</v>
      </c>
      <c r="G25" s="40">
        <f t="shared" si="3"/>
        <v>1884.9499999999998</v>
      </c>
      <c r="H25" s="40">
        <f t="shared" si="4"/>
        <v>2186.5419999999995</v>
      </c>
      <c r="I25" s="5"/>
    </row>
    <row r="26" spans="4:16">
      <c r="D26" s="27" t="s">
        <v>14</v>
      </c>
      <c r="E26" s="37">
        <f t="shared" si="1"/>
        <v>78</v>
      </c>
      <c r="F26" s="43">
        <f t="shared" si="2"/>
        <v>1899.25</v>
      </c>
      <c r="G26" s="40">
        <f t="shared" si="3"/>
        <v>1977.25</v>
      </c>
      <c r="H26" s="40">
        <f t="shared" si="4"/>
        <v>2293.6099999999997</v>
      </c>
      <c r="I26" s="5"/>
    </row>
    <row r="27" spans="4:16">
      <c r="D27" s="27" t="s">
        <v>15</v>
      </c>
      <c r="E27" s="37">
        <f t="shared" si="1"/>
        <v>78</v>
      </c>
      <c r="F27" s="43">
        <f t="shared" si="2"/>
        <v>1899.25</v>
      </c>
      <c r="G27" s="40">
        <f t="shared" si="3"/>
        <v>1977.25</v>
      </c>
      <c r="H27" s="40">
        <f t="shared" si="4"/>
        <v>2293.6099999999997</v>
      </c>
      <c r="I27" s="5"/>
    </row>
    <row r="28" spans="4:16">
      <c r="D28" s="27" t="s">
        <v>16</v>
      </c>
      <c r="E28" s="37">
        <f t="shared" si="1"/>
        <v>78</v>
      </c>
      <c r="F28" s="43">
        <f t="shared" si="2"/>
        <v>2183.25</v>
      </c>
      <c r="G28" s="40">
        <f t="shared" si="3"/>
        <v>2261.25</v>
      </c>
      <c r="H28" s="40">
        <f t="shared" si="4"/>
        <v>2623.0499999999997</v>
      </c>
      <c r="I28" s="5"/>
      <c r="P28" s="1"/>
    </row>
    <row r="29" spans="4:16">
      <c r="D29" s="27" t="s">
        <v>17</v>
      </c>
      <c r="E29" s="37">
        <f t="shared" si="1"/>
        <v>78</v>
      </c>
      <c r="F29" s="43">
        <f t="shared" si="2"/>
        <v>2183.25</v>
      </c>
      <c r="G29" s="40">
        <f t="shared" si="3"/>
        <v>2261.25</v>
      </c>
      <c r="H29" s="40">
        <f t="shared" si="4"/>
        <v>2623.0499999999997</v>
      </c>
      <c r="I29" s="5"/>
      <c r="P29" s="1"/>
    </row>
    <row r="30" spans="4:16">
      <c r="D30" s="27" t="s">
        <v>18</v>
      </c>
      <c r="E30" s="37">
        <f t="shared" si="1"/>
        <v>78</v>
      </c>
      <c r="F30" s="43">
        <f t="shared" si="2"/>
        <v>2172.6</v>
      </c>
      <c r="G30" s="40">
        <f t="shared" si="3"/>
        <v>2250.6</v>
      </c>
      <c r="H30" s="40">
        <f t="shared" si="4"/>
        <v>2610.6959999999999</v>
      </c>
      <c r="I30" s="4"/>
    </row>
    <row r="31" spans="4:16">
      <c r="D31" s="27" t="s">
        <v>19</v>
      </c>
      <c r="E31" s="37">
        <f t="shared" si="1"/>
        <v>78</v>
      </c>
      <c r="F31" s="43">
        <f t="shared" si="2"/>
        <v>2172.6</v>
      </c>
      <c r="G31" s="40">
        <f t="shared" si="3"/>
        <v>2250.6</v>
      </c>
      <c r="H31" s="40">
        <f t="shared" si="4"/>
        <v>2610.6959999999999</v>
      </c>
      <c r="I31" s="5"/>
    </row>
    <row r="32" spans="4:16">
      <c r="D32" s="30"/>
      <c r="E32" s="30"/>
      <c r="F32" s="30"/>
      <c r="G32" s="30"/>
      <c r="H32" s="44">
        <f>SUM(H20:H31)</f>
        <v>28939.911999999997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DB2B-20EC-44C6-999C-95ACCF9192B3}">
  <dimension ref="A3:M69"/>
  <sheetViews>
    <sheetView tabSelected="1" topLeftCell="A3" zoomScale="71" zoomScaleNormal="145" workbookViewId="0">
      <selection activeCell="R10" sqref="R10"/>
    </sheetView>
  </sheetViews>
  <sheetFormatPr baseColWidth="10" defaultRowHeight="15"/>
  <cols>
    <col min="2" max="2" width="17.7109375" customWidth="1"/>
    <col min="3" max="3" width="16.7109375" customWidth="1"/>
    <col min="4" max="5" width="13.7109375" customWidth="1"/>
    <col min="6" max="6" width="25" customWidth="1"/>
    <col min="8" max="8" width="38.85546875" customWidth="1"/>
    <col min="10" max="10" width="11.85546875" customWidth="1"/>
    <col min="12" max="12" width="25.28515625" customWidth="1"/>
    <col min="13" max="13" width="25.7109375" customWidth="1"/>
    <col min="14" max="14" width="18.7109375" customWidth="1"/>
    <col min="15" max="15" width="16.28515625" customWidth="1"/>
  </cols>
  <sheetData>
    <row r="3" spans="2:13">
      <c r="I3">
        <f>2.4*6*30</f>
        <v>431.99999999999994</v>
      </c>
    </row>
    <row r="5" spans="2:13">
      <c r="H5" s="38" t="s">
        <v>5</v>
      </c>
      <c r="I5" s="38"/>
      <c r="J5" s="38"/>
      <c r="K5" s="38"/>
    </row>
    <row r="6" spans="2:13" ht="30.75" thickBot="1">
      <c r="B6" s="35" t="s">
        <v>0</v>
      </c>
      <c r="C6" s="35" t="s">
        <v>26</v>
      </c>
      <c r="D6" s="36" t="s">
        <v>27</v>
      </c>
      <c r="E6" s="36" t="s">
        <v>32</v>
      </c>
      <c r="F6" s="104" t="s">
        <v>63</v>
      </c>
      <c r="H6" s="33" t="s">
        <v>0</v>
      </c>
      <c r="I6" s="33" t="s">
        <v>6</v>
      </c>
      <c r="J6" s="76" t="s">
        <v>7</v>
      </c>
      <c r="K6" s="33" t="s">
        <v>5</v>
      </c>
      <c r="M6" s="36" t="s">
        <v>28</v>
      </c>
    </row>
    <row r="7" spans="2:13" ht="16.5" thickTop="1" thickBot="1">
      <c r="B7" s="30" t="s">
        <v>8</v>
      </c>
      <c r="C7" s="30">
        <f>'Desglose energía'!E4</f>
        <v>607</v>
      </c>
      <c r="D7" s="37">
        <f>'Desglose energía'!H20</f>
        <v>2590.1059999999998</v>
      </c>
      <c r="E7" s="74">
        <f>K51</f>
        <v>0</v>
      </c>
      <c r="F7" s="106">
        <f>((C24)*1.16)+(E7*B24*1.16)</f>
        <v>90.47999999999999</v>
      </c>
      <c r="H7" s="41" t="s">
        <v>8</v>
      </c>
      <c r="I7" s="74">
        <v>31</v>
      </c>
      <c r="J7" s="78">
        <v>5.1390000000000002</v>
      </c>
      <c r="K7" s="75">
        <f t="shared" ref="K7:K18" si="0">ROUNDDOWN($M$19*($M$7/100)*J7*I7,0)</f>
        <v>587</v>
      </c>
      <c r="M7" s="30">
        <v>75</v>
      </c>
    </row>
    <row r="8" spans="2:13" ht="16.5" thickTop="1" thickBot="1">
      <c r="B8" s="30" t="s">
        <v>9</v>
      </c>
      <c r="C8" s="30">
        <f>'Desglose energía'!E5</f>
        <v>607</v>
      </c>
      <c r="D8" s="37">
        <f>'Desglose energía'!H21</f>
        <v>2590.1059999999998</v>
      </c>
      <c r="E8" s="74">
        <f t="shared" ref="E8:E18" si="1">K52</f>
        <v>0</v>
      </c>
      <c r="F8" s="106">
        <f t="shared" ref="F8:F18" si="2">((C25)*1.16)+(E8*B25*1.16)</f>
        <v>90.47999999999999</v>
      </c>
      <c r="H8" s="41" t="s">
        <v>9</v>
      </c>
      <c r="I8" s="74">
        <v>28</v>
      </c>
      <c r="J8" s="78">
        <v>5.8770000000000007</v>
      </c>
      <c r="K8" s="75">
        <f t="shared" si="0"/>
        <v>607</v>
      </c>
      <c r="M8" s="30"/>
    </row>
    <row r="9" spans="2:13" ht="31.5" thickTop="1" thickBot="1">
      <c r="B9" s="30" t="s">
        <v>10</v>
      </c>
      <c r="C9" s="30">
        <f>'Desglose energía'!E6</f>
        <v>504</v>
      </c>
      <c r="D9" s="37">
        <f>'Desglose energía'!H22</f>
        <v>2165.9519999999998</v>
      </c>
      <c r="E9" s="74">
        <f t="shared" si="1"/>
        <v>0</v>
      </c>
      <c r="F9" s="106">
        <f t="shared" si="2"/>
        <v>90.47999999999999</v>
      </c>
      <c r="H9" s="41" t="s">
        <v>10</v>
      </c>
      <c r="I9" s="74">
        <v>31</v>
      </c>
      <c r="J9" s="78">
        <v>6.3719999999999999</v>
      </c>
      <c r="K9" s="75">
        <f t="shared" si="0"/>
        <v>728</v>
      </c>
      <c r="M9" s="36" t="s">
        <v>29</v>
      </c>
    </row>
    <row r="10" spans="2:13" ht="16.5" thickTop="1" thickBot="1">
      <c r="B10" s="30" t="s">
        <v>11</v>
      </c>
      <c r="C10" s="30">
        <f>'Desglose energía'!E7</f>
        <v>504</v>
      </c>
      <c r="D10" s="37">
        <f>'Desglose energía'!H23</f>
        <v>2165.9519999999998</v>
      </c>
      <c r="E10" s="74">
        <f t="shared" si="1"/>
        <v>0</v>
      </c>
      <c r="F10" s="106">
        <f t="shared" si="2"/>
        <v>90.47999999999999</v>
      </c>
      <c r="H10" s="41" t="s">
        <v>11</v>
      </c>
      <c r="I10" s="74">
        <v>30</v>
      </c>
      <c r="J10" s="78">
        <v>6.57</v>
      </c>
      <c r="K10" s="75">
        <f t="shared" si="0"/>
        <v>727</v>
      </c>
      <c r="M10" s="30">
        <f>ROUNDUP(C20/((M7/100)*J19*365),2)</f>
        <v>4.24</v>
      </c>
    </row>
    <row r="11" spans="2:13" ht="16.5" thickTop="1" thickBot="1">
      <c r="B11" s="38" t="s">
        <v>12</v>
      </c>
      <c r="C11" s="30">
        <f>'Desglose energía'!E8</f>
        <v>509</v>
      </c>
      <c r="D11" s="37">
        <f>'Desglose energía'!H24</f>
        <v>2186.5419999999995</v>
      </c>
      <c r="E11" s="74">
        <f t="shared" si="1"/>
        <v>0</v>
      </c>
      <c r="F11" s="106">
        <f t="shared" si="2"/>
        <v>90.47999999999999</v>
      </c>
      <c r="H11" s="27" t="s">
        <v>12</v>
      </c>
      <c r="I11" s="74">
        <v>31</v>
      </c>
      <c r="J11" s="78">
        <v>6.3810000000000002</v>
      </c>
      <c r="K11" s="75">
        <f t="shared" si="0"/>
        <v>729</v>
      </c>
    </row>
    <row r="12" spans="2:13" ht="16.5" thickTop="1" thickBot="1">
      <c r="B12" s="38" t="s">
        <v>13</v>
      </c>
      <c r="C12" s="30">
        <f>'Desglose energía'!E9</f>
        <v>509</v>
      </c>
      <c r="D12" s="37">
        <f>'Desglose energía'!H25</f>
        <v>2186.5419999999995</v>
      </c>
      <c r="E12" s="74">
        <f t="shared" si="1"/>
        <v>0</v>
      </c>
      <c r="F12" s="106">
        <f t="shared" si="2"/>
        <v>90.47999999999999</v>
      </c>
      <c r="H12" s="27" t="s">
        <v>13</v>
      </c>
      <c r="I12" s="74">
        <v>30</v>
      </c>
      <c r="J12" s="78">
        <v>6.0389999999999997</v>
      </c>
      <c r="K12" s="75">
        <f t="shared" si="0"/>
        <v>668</v>
      </c>
      <c r="M12" s="33" t="s">
        <v>61</v>
      </c>
    </row>
    <row r="13" spans="2:13" ht="16.5" thickTop="1" thickBot="1">
      <c r="B13" s="38" t="s">
        <v>14</v>
      </c>
      <c r="C13" s="30">
        <f>'Desglose energía'!E10</f>
        <v>535</v>
      </c>
      <c r="D13" s="37">
        <f>'Desglose energía'!H26</f>
        <v>2293.6099999999997</v>
      </c>
      <c r="E13" s="74">
        <f t="shared" si="1"/>
        <v>0</v>
      </c>
      <c r="F13" s="106">
        <f t="shared" si="2"/>
        <v>90.47999999999999</v>
      </c>
      <c r="H13" s="27" t="s">
        <v>14</v>
      </c>
      <c r="I13" s="74">
        <v>31</v>
      </c>
      <c r="J13" s="78">
        <v>5.67</v>
      </c>
      <c r="K13" s="75">
        <f t="shared" si="0"/>
        <v>648</v>
      </c>
      <c r="M13" s="30">
        <v>8</v>
      </c>
    </row>
    <row r="14" spans="2:13" ht="16.5" thickTop="1" thickBot="1">
      <c r="B14" s="38" t="s">
        <v>15</v>
      </c>
      <c r="C14" s="30">
        <f>'Desglose energía'!E11</f>
        <v>535</v>
      </c>
      <c r="D14" s="37">
        <f>'Desglose energía'!H27</f>
        <v>2293.6099999999997</v>
      </c>
      <c r="E14" s="74">
        <f t="shared" si="1"/>
        <v>0</v>
      </c>
      <c r="F14" s="106">
        <f t="shared" si="2"/>
        <v>90.47999999999999</v>
      </c>
      <c r="H14" s="27" t="s">
        <v>15</v>
      </c>
      <c r="I14" s="74">
        <v>31</v>
      </c>
      <c r="J14" s="78">
        <v>5.931</v>
      </c>
      <c r="K14" s="75">
        <f t="shared" si="0"/>
        <v>678</v>
      </c>
    </row>
    <row r="15" spans="2:13" ht="16.5" thickTop="1" thickBot="1">
      <c r="B15" s="38" t="s">
        <v>16</v>
      </c>
      <c r="C15" s="30">
        <f>'Desglose energía'!E12</f>
        <v>615</v>
      </c>
      <c r="D15" s="37">
        <f>'Desglose energía'!H28</f>
        <v>2623.0499999999997</v>
      </c>
      <c r="E15" s="74">
        <f t="shared" si="1"/>
        <v>0</v>
      </c>
      <c r="F15" s="106">
        <f t="shared" si="2"/>
        <v>90.47999999999999</v>
      </c>
      <c r="H15" s="27" t="s">
        <v>16</v>
      </c>
      <c r="I15" s="74">
        <v>30</v>
      </c>
      <c r="J15" s="78">
        <v>5.4539999999999997</v>
      </c>
      <c r="K15" s="75">
        <f t="shared" si="0"/>
        <v>603</v>
      </c>
      <c r="M15" s="33" t="s">
        <v>62</v>
      </c>
    </row>
    <row r="16" spans="2:13" ht="16.5" thickTop="1" thickBot="1">
      <c r="B16" s="38" t="s">
        <v>17</v>
      </c>
      <c r="C16" s="30">
        <f>'Desglose energía'!E13</f>
        <v>615</v>
      </c>
      <c r="D16" s="37">
        <f>'Desglose energía'!H29</f>
        <v>2623.0499999999997</v>
      </c>
      <c r="E16" s="74">
        <f t="shared" si="1"/>
        <v>0</v>
      </c>
      <c r="F16" s="106">
        <f t="shared" si="2"/>
        <v>90.47999999999999</v>
      </c>
      <c r="H16" s="27" t="s">
        <v>17</v>
      </c>
      <c r="I16" s="74">
        <v>31</v>
      </c>
      <c r="J16" s="78">
        <v>5.9490000000000007</v>
      </c>
      <c r="K16" s="75">
        <f t="shared" si="0"/>
        <v>680</v>
      </c>
      <c r="M16" s="30">
        <v>615</v>
      </c>
    </row>
    <row r="17" spans="2:13" ht="16.5" thickTop="1" thickBot="1">
      <c r="B17" s="30" t="s">
        <v>18</v>
      </c>
      <c r="C17" s="30">
        <f>'Desglose energía'!E14</f>
        <v>612</v>
      </c>
      <c r="D17" s="37">
        <f>'Desglose energía'!H30</f>
        <v>2610.6959999999999</v>
      </c>
      <c r="E17" s="74">
        <f t="shared" si="1"/>
        <v>0</v>
      </c>
      <c r="F17" s="106">
        <f t="shared" si="2"/>
        <v>90.47999999999999</v>
      </c>
      <c r="H17" s="41" t="s">
        <v>18</v>
      </c>
      <c r="I17" s="74">
        <v>30</v>
      </c>
      <c r="J17" s="78">
        <v>5.5620000000000003</v>
      </c>
      <c r="K17" s="75">
        <f t="shared" si="0"/>
        <v>615</v>
      </c>
    </row>
    <row r="18" spans="2:13" ht="31.5" thickTop="1" thickBot="1">
      <c r="B18" s="30" t="s">
        <v>19</v>
      </c>
      <c r="C18" s="30">
        <f>'Desglose energía'!E15</f>
        <v>612</v>
      </c>
      <c r="D18" s="37">
        <f>'Desglose energía'!H31</f>
        <v>2610.6959999999999</v>
      </c>
      <c r="E18" s="74">
        <f t="shared" si="1"/>
        <v>0</v>
      </c>
      <c r="F18" s="106">
        <f t="shared" si="2"/>
        <v>90.47999999999999</v>
      </c>
      <c r="H18" s="41" t="s">
        <v>19</v>
      </c>
      <c r="I18" s="74">
        <v>31</v>
      </c>
      <c r="J18" s="78">
        <v>5.0490000000000004</v>
      </c>
      <c r="K18" s="75">
        <f t="shared" si="0"/>
        <v>577</v>
      </c>
      <c r="M18" s="36" t="s">
        <v>31</v>
      </c>
    </row>
    <row r="19" spans="2:13" ht="15.75" thickTop="1">
      <c r="B19" s="30"/>
      <c r="C19" s="30"/>
      <c r="D19" s="30"/>
      <c r="E19" s="30"/>
      <c r="F19" s="105"/>
      <c r="G19" s="2">
        <f t="shared" ref="G19" si="3">(C36)*1.16</f>
        <v>0</v>
      </c>
      <c r="H19" s="30"/>
      <c r="I19" s="30"/>
      <c r="J19" s="77">
        <f>ROUNDDOWN(AVERAGE(J7:J18),2)</f>
        <v>5.83</v>
      </c>
      <c r="K19" s="30">
        <f>SUM(K7:K18)</f>
        <v>7847</v>
      </c>
      <c r="M19" s="45">
        <f>(M13*M16)/1000</f>
        <v>4.92</v>
      </c>
    </row>
    <row r="20" spans="2:13">
      <c r="B20" s="39" t="s">
        <v>3</v>
      </c>
      <c r="C20" s="30">
        <f>SUM(C7:C18)</f>
        <v>6764</v>
      </c>
      <c r="D20" s="40">
        <f>SUM(D7:D18)</f>
        <v>28939.911999999997</v>
      </c>
      <c r="E20" s="30">
        <f>SUM(E7:E18)</f>
        <v>0</v>
      </c>
      <c r="F20" s="37">
        <f>SUM(F7:F18)</f>
        <v>1085.76</v>
      </c>
    </row>
    <row r="23" spans="2:13">
      <c r="B23" s="33" t="s">
        <v>24</v>
      </c>
      <c r="C23" s="33" t="s">
        <v>25</v>
      </c>
    </row>
    <row r="24" spans="2:13">
      <c r="B24" s="34">
        <v>4.0620000000000003</v>
      </c>
      <c r="C24" s="42">
        <f>'Desglose energía'!H4</f>
        <v>78</v>
      </c>
    </row>
    <row r="25" spans="2:13">
      <c r="B25" s="34">
        <v>4.0620000000000003</v>
      </c>
      <c r="C25" s="42">
        <f>'Desglose energía'!H5</f>
        <v>78</v>
      </c>
    </row>
    <row r="26" spans="2:13">
      <c r="B26" s="34">
        <v>4.0620000000000003</v>
      </c>
      <c r="C26" s="42">
        <f>'Desglose energía'!H6</f>
        <v>78</v>
      </c>
    </row>
    <row r="27" spans="2:13">
      <c r="B27" s="34">
        <v>4.0620000000000003</v>
      </c>
      <c r="C27" s="42">
        <f>'Desglose energía'!H7</f>
        <v>78</v>
      </c>
    </row>
    <row r="28" spans="2:13">
      <c r="B28" s="34">
        <v>4.0620000000000003</v>
      </c>
      <c r="C28" s="34">
        <f>'Desglose energía'!H8</f>
        <v>78</v>
      </c>
    </row>
    <row r="29" spans="2:13">
      <c r="B29" s="34">
        <v>4.0620000000000003</v>
      </c>
      <c r="C29" s="34">
        <f>'Desglose energía'!H9</f>
        <v>78</v>
      </c>
    </row>
    <row r="30" spans="2:13">
      <c r="B30" s="34">
        <v>4.0620000000000003</v>
      </c>
      <c r="C30" s="34">
        <f>'Desglose energía'!H10</f>
        <v>78</v>
      </c>
    </row>
    <row r="31" spans="2:13">
      <c r="B31" s="34">
        <v>4.0620000000000003</v>
      </c>
      <c r="C31" s="34">
        <f>'Desglose energía'!H11</f>
        <v>78</v>
      </c>
    </row>
    <row r="32" spans="2:13">
      <c r="B32" s="34">
        <v>4.0620000000000003</v>
      </c>
      <c r="C32" s="34">
        <f>'Desglose energía'!H12</f>
        <v>78</v>
      </c>
    </row>
    <row r="33" spans="1:12">
      <c r="B33" s="34">
        <v>4.0620000000000003</v>
      </c>
      <c r="C33" s="34">
        <f>'Desglose energía'!H13</f>
        <v>78</v>
      </c>
    </row>
    <row r="34" spans="1:12">
      <c r="B34" s="34">
        <v>4.0620000000000003</v>
      </c>
      <c r="C34" s="42">
        <f>'Desglose energía'!H14</f>
        <v>78</v>
      </c>
    </row>
    <row r="35" spans="1:12">
      <c r="B35" s="34">
        <v>4.0620000000000003</v>
      </c>
      <c r="C35" s="42">
        <f>'Desglose energía'!H15</f>
        <v>78</v>
      </c>
    </row>
    <row r="46" spans="1:12" ht="15.75" thickBot="1"/>
    <row r="47" spans="1:12" ht="22.5" thickTop="1" thickBot="1">
      <c r="A47" s="100"/>
      <c r="B47" s="101"/>
      <c r="C47" s="101"/>
      <c r="D47" s="101"/>
      <c r="E47" s="101"/>
      <c r="F47" s="103" t="s">
        <v>74</v>
      </c>
      <c r="G47" s="101"/>
      <c r="H47" s="101"/>
      <c r="I47" s="101"/>
      <c r="J47" s="101"/>
      <c r="K47" s="101"/>
      <c r="L47" s="102"/>
    </row>
    <row r="48" spans="1:12" ht="16.5" thickTop="1" thickBot="1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4"/>
    </row>
    <row r="49" spans="1:12" ht="16.5" thickTop="1" thickBot="1">
      <c r="A49" s="95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99"/>
    </row>
    <row r="50" spans="1:12" ht="16.5" thickTop="1" thickBot="1">
      <c r="A50" s="95"/>
      <c r="B50" s="80"/>
      <c r="C50" s="80" t="s">
        <v>69</v>
      </c>
      <c r="D50" s="80"/>
      <c r="E50" s="80" t="s">
        <v>70</v>
      </c>
      <c r="F50" s="80" t="s">
        <v>73</v>
      </c>
      <c r="G50" s="80"/>
      <c r="H50" s="80"/>
      <c r="I50" s="80"/>
      <c r="J50" s="80"/>
      <c r="K50" s="80"/>
      <c r="L50" s="99"/>
    </row>
    <row r="51" spans="1:12" ht="16.5" thickTop="1" thickBot="1">
      <c r="A51" s="95"/>
      <c r="B51" s="80" t="s">
        <v>8</v>
      </c>
      <c r="C51" s="80">
        <f>IF(K7&gt;=C7,0,C7-K7)</f>
        <v>20</v>
      </c>
      <c r="D51" s="80"/>
      <c r="E51" s="80">
        <f>IF(C51&gt;0,0,K7-C7)</f>
        <v>0</v>
      </c>
      <c r="F51" s="81" t="str">
        <f>IF(E51=0,$B$66,$B$67)</f>
        <v>NO</v>
      </c>
      <c r="G51" s="80"/>
      <c r="H51" s="80">
        <f>E64</f>
        <v>1150</v>
      </c>
      <c r="I51" s="80">
        <f>IF(H51&lt;=0,0,H51)</f>
        <v>1150</v>
      </c>
      <c r="J51" s="80"/>
      <c r="K51" s="80">
        <f t="shared" ref="K51:K62" si="4">IF(I51&gt;=C51,0,C51-I51)</f>
        <v>0</v>
      </c>
      <c r="L51" s="99"/>
    </row>
    <row r="52" spans="1:12" ht="16.5" thickTop="1" thickBot="1">
      <c r="A52" s="95"/>
      <c r="B52" s="80" t="s">
        <v>9</v>
      </c>
      <c r="C52" s="80">
        <f t="shared" ref="C52:C62" si="5">IF(K8&gt;=C8,0,C8-K8)</f>
        <v>0</v>
      </c>
      <c r="D52" s="80"/>
      <c r="E52" s="80">
        <f t="shared" ref="E52:E62" si="6">IF(C52&gt;0,0,K8-C8)</f>
        <v>0</v>
      </c>
      <c r="F52" s="81" t="str">
        <f>IF(E52=0,$B$66,$B$67)</f>
        <v>NO</v>
      </c>
      <c r="G52" s="80"/>
      <c r="H52" s="80">
        <f>H51-C51</f>
        <v>1130</v>
      </c>
      <c r="I52" s="80">
        <f>IF(H52&lt;=0,0,H52)</f>
        <v>1130</v>
      </c>
      <c r="J52" s="80"/>
      <c r="K52" s="80">
        <f t="shared" si="4"/>
        <v>0</v>
      </c>
      <c r="L52" s="99"/>
    </row>
    <row r="53" spans="1:12" ht="16.5" thickTop="1" thickBot="1">
      <c r="A53" s="95"/>
      <c r="B53" s="80" t="s">
        <v>10</v>
      </c>
      <c r="C53" s="80">
        <f t="shared" si="5"/>
        <v>0</v>
      </c>
      <c r="D53" s="80"/>
      <c r="E53" s="80">
        <f t="shared" si="6"/>
        <v>224</v>
      </c>
      <c r="F53" s="81" t="str">
        <f t="shared" ref="F53:F62" si="7">IF(E53=0,$B$66,$B$67)</f>
        <v>SI</v>
      </c>
      <c r="G53" s="80"/>
      <c r="H53" s="80">
        <f>H52-C52</f>
        <v>1130</v>
      </c>
      <c r="I53" s="80">
        <f t="shared" ref="I53:I62" si="8">IF(H53&lt;=0,0,H53)</f>
        <v>1130</v>
      </c>
      <c r="J53" s="80"/>
      <c r="K53" s="80">
        <f t="shared" si="4"/>
        <v>0</v>
      </c>
      <c r="L53" s="99"/>
    </row>
    <row r="54" spans="1:12" ht="16.5" thickTop="1" thickBot="1">
      <c r="A54" s="95"/>
      <c r="B54" s="80" t="s">
        <v>11</v>
      </c>
      <c r="C54" s="80">
        <f t="shared" si="5"/>
        <v>0</v>
      </c>
      <c r="D54" s="80"/>
      <c r="E54" s="80">
        <f t="shared" si="6"/>
        <v>223</v>
      </c>
      <c r="F54" s="81" t="str">
        <f t="shared" si="7"/>
        <v>SI</v>
      </c>
      <c r="G54" s="80"/>
      <c r="H54" s="80">
        <f t="shared" ref="H54:H62" si="9">H53-C53</f>
        <v>1130</v>
      </c>
      <c r="I54" s="80">
        <f t="shared" si="8"/>
        <v>1130</v>
      </c>
      <c r="J54" s="80"/>
      <c r="K54" s="80">
        <f t="shared" si="4"/>
        <v>0</v>
      </c>
      <c r="L54" s="99"/>
    </row>
    <row r="55" spans="1:12" ht="16.5" thickTop="1" thickBot="1">
      <c r="A55" s="95"/>
      <c r="B55" s="82" t="s">
        <v>12</v>
      </c>
      <c r="C55" s="80">
        <f t="shared" si="5"/>
        <v>0</v>
      </c>
      <c r="D55" s="80"/>
      <c r="E55" s="80">
        <f t="shared" si="6"/>
        <v>220</v>
      </c>
      <c r="F55" s="81" t="str">
        <f t="shared" si="7"/>
        <v>SI</v>
      </c>
      <c r="G55" s="80"/>
      <c r="H55" s="80">
        <f t="shared" si="9"/>
        <v>1130</v>
      </c>
      <c r="I55" s="80">
        <f t="shared" si="8"/>
        <v>1130</v>
      </c>
      <c r="J55" s="80"/>
      <c r="K55" s="80">
        <f t="shared" si="4"/>
        <v>0</v>
      </c>
      <c r="L55" s="99"/>
    </row>
    <row r="56" spans="1:12" ht="16.5" thickTop="1" thickBot="1">
      <c r="A56" s="95"/>
      <c r="B56" s="82" t="s">
        <v>13</v>
      </c>
      <c r="C56" s="80">
        <f t="shared" si="5"/>
        <v>0</v>
      </c>
      <c r="D56" s="80"/>
      <c r="E56" s="80">
        <f t="shared" si="6"/>
        <v>159</v>
      </c>
      <c r="F56" s="81" t="str">
        <f t="shared" si="7"/>
        <v>SI</v>
      </c>
      <c r="G56" s="80"/>
      <c r="H56" s="80">
        <f t="shared" si="9"/>
        <v>1130</v>
      </c>
      <c r="I56" s="80">
        <f t="shared" si="8"/>
        <v>1130</v>
      </c>
      <c r="J56" s="80"/>
      <c r="K56" s="80">
        <f t="shared" si="4"/>
        <v>0</v>
      </c>
      <c r="L56" s="99"/>
    </row>
    <row r="57" spans="1:12" ht="16.5" thickTop="1" thickBot="1">
      <c r="A57" s="95"/>
      <c r="B57" s="82" t="s">
        <v>14</v>
      </c>
      <c r="C57" s="80">
        <f t="shared" si="5"/>
        <v>0</v>
      </c>
      <c r="D57" s="80"/>
      <c r="E57" s="80">
        <f t="shared" si="6"/>
        <v>113</v>
      </c>
      <c r="F57" s="81" t="str">
        <f t="shared" si="7"/>
        <v>SI</v>
      </c>
      <c r="G57" s="80"/>
      <c r="H57" s="80">
        <f t="shared" si="9"/>
        <v>1130</v>
      </c>
      <c r="I57" s="80">
        <f t="shared" si="8"/>
        <v>1130</v>
      </c>
      <c r="J57" s="80"/>
      <c r="K57" s="80">
        <f t="shared" si="4"/>
        <v>0</v>
      </c>
      <c r="L57" s="99"/>
    </row>
    <row r="58" spans="1:12" ht="16.5" thickTop="1" thickBot="1">
      <c r="A58" s="95"/>
      <c r="B58" s="82" t="s">
        <v>15</v>
      </c>
      <c r="C58" s="80">
        <f t="shared" si="5"/>
        <v>0</v>
      </c>
      <c r="D58" s="80"/>
      <c r="E58" s="80">
        <f t="shared" si="6"/>
        <v>143</v>
      </c>
      <c r="F58" s="81" t="str">
        <f t="shared" si="7"/>
        <v>SI</v>
      </c>
      <c r="G58" s="80"/>
      <c r="H58" s="80">
        <f t="shared" si="9"/>
        <v>1130</v>
      </c>
      <c r="I58" s="80">
        <f t="shared" si="8"/>
        <v>1130</v>
      </c>
      <c r="J58" s="80"/>
      <c r="K58" s="80">
        <f t="shared" si="4"/>
        <v>0</v>
      </c>
      <c r="L58" s="99"/>
    </row>
    <row r="59" spans="1:12" ht="16.5" thickTop="1" thickBot="1">
      <c r="A59" s="95"/>
      <c r="B59" s="82" t="s">
        <v>16</v>
      </c>
      <c r="C59" s="80">
        <f t="shared" si="5"/>
        <v>12</v>
      </c>
      <c r="D59" s="80"/>
      <c r="E59" s="80">
        <f t="shared" si="6"/>
        <v>0</v>
      </c>
      <c r="F59" s="81" t="str">
        <f t="shared" si="7"/>
        <v>NO</v>
      </c>
      <c r="G59" s="80"/>
      <c r="H59" s="80">
        <f t="shared" si="9"/>
        <v>1130</v>
      </c>
      <c r="I59" s="80">
        <f t="shared" si="8"/>
        <v>1130</v>
      </c>
      <c r="J59" s="80"/>
      <c r="K59" s="80">
        <f t="shared" si="4"/>
        <v>0</v>
      </c>
      <c r="L59" s="99"/>
    </row>
    <row r="60" spans="1:12" ht="16.5" thickTop="1" thickBot="1">
      <c r="A60" s="95"/>
      <c r="B60" s="82" t="s">
        <v>17</v>
      </c>
      <c r="C60" s="80">
        <f t="shared" si="5"/>
        <v>0</v>
      </c>
      <c r="D60" s="80"/>
      <c r="E60" s="80">
        <f t="shared" si="6"/>
        <v>65</v>
      </c>
      <c r="F60" s="81" t="str">
        <f t="shared" si="7"/>
        <v>SI</v>
      </c>
      <c r="G60" s="80"/>
      <c r="H60" s="80">
        <f t="shared" si="9"/>
        <v>1118</v>
      </c>
      <c r="I60" s="80">
        <f t="shared" si="8"/>
        <v>1118</v>
      </c>
      <c r="J60" s="80"/>
      <c r="K60" s="80">
        <f t="shared" si="4"/>
        <v>0</v>
      </c>
      <c r="L60" s="99"/>
    </row>
    <row r="61" spans="1:12" ht="16.5" thickTop="1" thickBot="1">
      <c r="A61" s="95"/>
      <c r="B61" s="80" t="s">
        <v>18</v>
      </c>
      <c r="C61" s="80">
        <f t="shared" si="5"/>
        <v>0</v>
      </c>
      <c r="D61" s="80"/>
      <c r="E61" s="80">
        <f t="shared" si="6"/>
        <v>3</v>
      </c>
      <c r="F61" s="81" t="str">
        <f t="shared" si="7"/>
        <v>SI</v>
      </c>
      <c r="G61" s="80"/>
      <c r="H61" s="80">
        <f t="shared" si="9"/>
        <v>1118</v>
      </c>
      <c r="I61" s="80">
        <f t="shared" si="8"/>
        <v>1118</v>
      </c>
      <c r="J61" s="80"/>
      <c r="K61" s="80">
        <f t="shared" si="4"/>
        <v>0</v>
      </c>
      <c r="L61" s="99"/>
    </row>
    <row r="62" spans="1:12" ht="16.5" thickTop="1" thickBot="1">
      <c r="A62" s="95"/>
      <c r="B62" s="80" t="s">
        <v>19</v>
      </c>
      <c r="C62" s="80">
        <f t="shared" si="5"/>
        <v>35</v>
      </c>
      <c r="D62" s="80"/>
      <c r="E62" s="80">
        <f t="shared" si="6"/>
        <v>0</v>
      </c>
      <c r="F62" s="81" t="str">
        <f t="shared" si="7"/>
        <v>NO</v>
      </c>
      <c r="G62" s="80"/>
      <c r="H62" s="80">
        <f t="shared" si="9"/>
        <v>1118</v>
      </c>
      <c r="I62" s="80">
        <f t="shared" si="8"/>
        <v>1118</v>
      </c>
      <c r="J62" s="80"/>
      <c r="K62" s="80">
        <f t="shared" si="4"/>
        <v>0</v>
      </c>
      <c r="L62" s="99"/>
    </row>
    <row r="63" spans="1:12" ht="15.75" thickTop="1">
      <c r="A63" s="95"/>
      <c r="B63" s="83"/>
      <c r="C63" s="84"/>
      <c r="D63" s="85"/>
      <c r="E63" s="85"/>
      <c r="F63" s="85"/>
      <c r="G63" s="85"/>
      <c r="H63" s="85"/>
      <c r="I63" s="85"/>
      <c r="J63" s="85"/>
      <c r="K63" s="86"/>
      <c r="L63" s="99"/>
    </row>
    <row r="64" spans="1:12">
      <c r="A64" s="95"/>
      <c r="B64" s="87"/>
      <c r="C64" s="79">
        <f>SUM(C51:C62)</f>
        <v>67</v>
      </c>
      <c r="E64">
        <f>SUM(E51:E62)</f>
        <v>1150</v>
      </c>
      <c r="K64" s="88"/>
      <c r="L64" s="99"/>
    </row>
    <row r="65" spans="1:12">
      <c r="A65" s="95"/>
      <c r="B65" s="87"/>
      <c r="K65" s="88"/>
      <c r="L65" s="99"/>
    </row>
    <row r="66" spans="1:12">
      <c r="A66" s="95"/>
      <c r="B66" s="87" t="s">
        <v>71</v>
      </c>
      <c r="K66" s="88"/>
      <c r="L66" s="99"/>
    </row>
    <row r="67" spans="1:12" ht="15.75" thickBot="1">
      <c r="A67" s="95"/>
      <c r="B67" s="89" t="s">
        <v>72</v>
      </c>
      <c r="C67" s="90"/>
      <c r="D67" s="90"/>
      <c r="E67" s="90"/>
      <c r="F67" s="90"/>
      <c r="G67" s="90"/>
      <c r="H67" s="90"/>
      <c r="I67" s="90"/>
      <c r="J67" s="90"/>
      <c r="K67" s="91"/>
      <c r="L67" s="99"/>
    </row>
    <row r="68" spans="1:12" ht="16.5" thickTop="1" thickBot="1">
      <c r="A68" s="96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8"/>
    </row>
    <row r="69" spans="1:12" ht="15.75" thickTop="1"/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FED4-4633-4F56-B585-1CD1094610DA}">
  <dimension ref="D6:I23"/>
  <sheetViews>
    <sheetView topLeftCell="A3" zoomScale="116" zoomScaleNormal="175" workbookViewId="0">
      <selection activeCell="K23" sqref="K23"/>
    </sheetView>
  </sheetViews>
  <sheetFormatPr baseColWidth="10" defaultRowHeight="15"/>
  <cols>
    <col min="5" max="5" width="14.85546875" customWidth="1"/>
    <col min="6" max="6" width="18.28515625" customWidth="1"/>
    <col min="7" max="7" width="18" customWidth="1"/>
    <col min="8" max="8" width="13.85546875" customWidth="1"/>
    <col min="9" max="9" width="14.140625" customWidth="1"/>
  </cols>
  <sheetData>
    <row r="6" spans="4:9" ht="45">
      <c r="D6" s="7" t="s">
        <v>0</v>
      </c>
      <c r="E6" s="8" t="s">
        <v>43</v>
      </c>
      <c r="F6" s="6" t="s">
        <v>44</v>
      </c>
      <c r="G6" s="6" t="s">
        <v>45</v>
      </c>
      <c r="H6" s="9" t="s">
        <v>46</v>
      </c>
      <c r="I6" s="6" t="s">
        <v>47</v>
      </c>
    </row>
    <row r="7" spans="4:9">
      <c r="D7" t="s">
        <v>1</v>
      </c>
      <c r="E7">
        <f>'CON FV'!C7</f>
        <v>607</v>
      </c>
      <c r="F7">
        <f>'CON FV'!K7</f>
        <v>587</v>
      </c>
      <c r="G7" s="2">
        <f>'CON FV'!D7</f>
        <v>2590.1059999999998</v>
      </c>
      <c r="H7" s="2">
        <f>'CON FV'!F7</f>
        <v>90.47999999999999</v>
      </c>
      <c r="I7" s="2">
        <f>G7-H7</f>
        <v>2499.6259999999997</v>
      </c>
    </row>
    <row r="8" spans="4:9">
      <c r="D8" s="10" t="s">
        <v>33</v>
      </c>
      <c r="E8" s="10">
        <f>'CON FV'!C8</f>
        <v>607</v>
      </c>
      <c r="F8" s="10">
        <f>'CON FV'!K8</f>
        <v>607</v>
      </c>
      <c r="G8" s="11">
        <f>'CON FV'!D8</f>
        <v>2590.1059999999998</v>
      </c>
      <c r="H8" s="11">
        <f>'CON FV'!F8</f>
        <v>90.47999999999999</v>
      </c>
      <c r="I8" s="11">
        <f t="shared" ref="I8:I18" si="0">G8-H8</f>
        <v>2499.6259999999997</v>
      </c>
    </row>
    <row r="9" spans="4:9">
      <c r="D9" t="s">
        <v>34</v>
      </c>
      <c r="E9">
        <f>'CON FV'!C9</f>
        <v>504</v>
      </c>
      <c r="F9">
        <f>'CON FV'!K9</f>
        <v>728</v>
      </c>
      <c r="G9" s="2">
        <f>'CON FV'!D9</f>
        <v>2165.9519999999998</v>
      </c>
      <c r="H9" s="2">
        <f>'CON FV'!F9</f>
        <v>90.47999999999999</v>
      </c>
      <c r="I9" s="2">
        <f t="shared" si="0"/>
        <v>2075.4719999999998</v>
      </c>
    </row>
    <row r="10" spans="4:9">
      <c r="D10" s="10" t="s">
        <v>35</v>
      </c>
      <c r="E10" s="10">
        <f>'CON FV'!C10</f>
        <v>504</v>
      </c>
      <c r="F10" s="10">
        <f>'CON FV'!K10</f>
        <v>727</v>
      </c>
      <c r="G10" s="11">
        <f>'CON FV'!D10</f>
        <v>2165.9519999999998</v>
      </c>
      <c r="H10" s="11">
        <f>'CON FV'!F10</f>
        <v>90.47999999999999</v>
      </c>
      <c r="I10" s="11">
        <f t="shared" si="0"/>
        <v>2075.4719999999998</v>
      </c>
    </row>
    <row r="11" spans="4:9">
      <c r="D11" t="s">
        <v>36</v>
      </c>
      <c r="E11">
        <f>'CON FV'!C11</f>
        <v>509</v>
      </c>
      <c r="F11">
        <f>'CON FV'!K11</f>
        <v>729</v>
      </c>
      <c r="G11" s="2">
        <f>'CON FV'!D11</f>
        <v>2186.5419999999995</v>
      </c>
      <c r="H11" s="2">
        <f>'CON FV'!F11</f>
        <v>90.47999999999999</v>
      </c>
      <c r="I11" s="2">
        <f t="shared" si="0"/>
        <v>2096.0619999999994</v>
      </c>
    </row>
    <row r="12" spans="4:9">
      <c r="D12" s="10" t="s">
        <v>2</v>
      </c>
      <c r="E12" s="10">
        <f>'CON FV'!C12</f>
        <v>509</v>
      </c>
      <c r="F12" s="10">
        <f>'CON FV'!K12</f>
        <v>668</v>
      </c>
      <c r="G12" s="11">
        <f>'CON FV'!D12</f>
        <v>2186.5419999999995</v>
      </c>
      <c r="H12" s="11">
        <f>'CON FV'!F12</f>
        <v>90.47999999999999</v>
      </c>
      <c r="I12" s="11">
        <f t="shared" si="0"/>
        <v>2096.0619999999994</v>
      </c>
    </row>
    <row r="13" spans="4:9">
      <c r="D13" t="s">
        <v>37</v>
      </c>
      <c r="E13">
        <f>'CON FV'!C13</f>
        <v>535</v>
      </c>
      <c r="F13">
        <f>'CON FV'!K13</f>
        <v>648</v>
      </c>
      <c r="G13" s="2">
        <f>'CON FV'!D13</f>
        <v>2293.6099999999997</v>
      </c>
      <c r="H13" s="2">
        <f>'CON FV'!F13</f>
        <v>90.47999999999999</v>
      </c>
      <c r="I13" s="2">
        <f t="shared" si="0"/>
        <v>2203.1299999999997</v>
      </c>
    </row>
    <row r="14" spans="4:9">
      <c r="D14" s="10" t="s">
        <v>38</v>
      </c>
      <c r="E14" s="10">
        <f>'CON FV'!C14</f>
        <v>535</v>
      </c>
      <c r="F14" s="10">
        <f>'CON FV'!K14</f>
        <v>678</v>
      </c>
      <c r="G14" s="11">
        <f>'CON FV'!D14</f>
        <v>2293.6099999999997</v>
      </c>
      <c r="H14" s="11">
        <f>'CON FV'!F14</f>
        <v>90.47999999999999</v>
      </c>
      <c r="I14" s="11">
        <f t="shared" si="0"/>
        <v>2203.1299999999997</v>
      </c>
    </row>
    <row r="15" spans="4:9">
      <c r="D15" t="s">
        <v>39</v>
      </c>
      <c r="E15">
        <f>'CON FV'!C15</f>
        <v>615</v>
      </c>
      <c r="F15">
        <f>'CON FV'!K15</f>
        <v>603</v>
      </c>
      <c r="G15" s="2">
        <f>'CON FV'!D15</f>
        <v>2623.0499999999997</v>
      </c>
      <c r="H15" s="2">
        <f>'CON FV'!F15</f>
        <v>90.47999999999999</v>
      </c>
      <c r="I15" s="2">
        <f t="shared" si="0"/>
        <v>2532.5699999999997</v>
      </c>
    </row>
    <row r="16" spans="4:9">
      <c r="D16" s="10" t="s">
        <v>40</v>
      </c>
      <c r="E16" s="10">
        <f>'CON FV'!C16</f>
        <v>615</v>
      </c>
      <c r="F16" s="10">
        <f>'CON FV'!K16</f>
        <v>680</v>
      </c>
      <c r="G16" s="11">
        <f>'CON FV'!D16</f>
        <v>2623.0499999999997</v>
      </c>
      <c r="H16" s="11">
        <f>'CON FV'!F16</f>
        <v>90.47999999999999</v>
      </c>
      <c r="I16" s="11">
        <f t="shared" si="0"/>
        <v>2532.5699999999997</v>
      </c>
    </row>
    <row r="17" spans="4:9">
      <c r="D17" t="s">
        <v>41</v>
      </c>
      <c r="E17">
        <f>'CON FV'!C17</f>
        <v>612</v>
      </c>
      <c r="F17">
        <f>'CON FV'!K17</f>
        <v>615</v>
      </c>
      <c r="G17" s="2">
        <f>'CON FV'!D17</f>
        <v>2610.6959999999999</v>
      </c>
      <c r="H17" s="2">
        <f>'CON FV'!F17</f>
        <v>90.47999999999999</v>
      </c>
      <c r="I17" s="2">
        <f t="shared" si="0"/>
        <v>2520.2159999999999</v>
      </c>
    </row>
    <row r="18" spans="4:9">
      <c r="D18" s="10" t="s">
        <v>42</v>
      </c>
      <c r="E18" s="10">
        <f>'CON FV'!C18</f>
        <v>612</v>
      </c>
      <c r="F18" s="10">
        <f>'CON FV'!K18</f>
        <v>577</v>
      </c>
      <c r="G18" s="11">
        <f>'CON FV'!D18</f>
        <v>2610.6959999999999</v>
      </c>
      <c r="H18" s="11">
        <f>'CON FV'!F18</f>
        <v>90.47999999999999</v>
      </c>
      <c r="I18" s="11">
        <f t="shared" si="0"/>
        <v>2520.2159999999999</v>
      </c>
    </row>
    <row r="19" spans="4:9">
      <c r="D19" s="57"/>
      <c r="E19" s="46"/>
      <c r="F19" s="46"/>
      <c r="G19" s="46"/>
      <c r="H19" s="58" t="s">
        <v>48</v>
      </c>
      <c r="I19" s="59">
        <f>SUM(I7:I18)</f>
        <v>27854.151999999998</v>
      </c>
    </row>
    <row r="20" spans="4:9">
      <c r="D20" s="47"/>
      <c r="E20" s="48"/>
      <c r="F20" s="48"/>
      <c r="G20" s="49" t="s">
        <v>64</v>
      </c>
      <c r="H20" s="50">
        <f>ROUNDUP(COSTOS!H25/'GRÁFICA GENERAL '!I19,2)</f>
        <v>2.44</v>
      </c>
      <c r="I20" s="50" t="s">
        <v>65</v>
      </c>
    </row>
    <row r="23" spans="4:9">
      <c r="I23" s="1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8E24-ADB6-4340-8038-E229A4C2AA91}">
  <dimension ref="E5:L25"/>
  <sheetViews>
    <sheetView topLeftCell="A7" zoomScale="118" zoomScaleNormal="175" workbookViewId="0">
      <selection activeCell="B8" sqref="B8:C9"/>
    </sheetView>
  </sheetViews>
  <sheetFormatPr baseColWidth="10" defaultRowHeight="15"/>
  <cols>
    <col min="5" max="5" width="28.28515625" customWidth="1"/>
    <col min="7" max="7" width="22.7109375" customWidth="1"/>
    <col min="8" max="8" width="43.7109375" customWidth="1"/>
    <col min="9" max="9" width="5.85546875" customWidth="1"/>
  </cols>
  <sheetData>
    <row r="5" spans="5:10">
      <c r="E5" s="60" t="s">
        <v>30</v>
      </c>
      <c r="G5" s="18" t="s">
        <v>51</v>
      </c>
    </row>
    <row r="6" spans="5:10">
      <c r="E6" s="15">
        <f>'CON FV'!M19</f>
        <v>4.92</v>
      </c>
      <c r="G6" s="19">
        <f>(E6*1000)*E9*E12</f>
        <v>67917.156000000003</v>
      </c>
      <c r="I6" s="2"/>
    </row>
    <row r="8" spans="5:10" ht="30">
      <c r="E8" s="17" t="s">
        <v>49</v>
      </c>
      <c r="G8" s="60" t="s">
        <v>53</v>
      </c>
      <c r="J8" s="2"/>
    </row>
    <row r="9" spans="5:10">
      <c r="E9" s="15">
        <v>0.73</v>
      </c>
      <c r="G9" s="20">
        <f>G6-E15</f>
        <v>67917.156000000003</v>
      </c>
    </row>
    <row r="10" spans="5:10">
      <c r="I10" s="2"/>
    </row>
    <row r="11" spans="5:10">
      <c r="E11" s="16" t="s">
        <v>50</v>
      </c>
      <c r="G11" s="60" t="s">
        <v>54</v>
      </c>
    </row>
    <row r="12" spans="5:10">
      <c r="E12" s="15">
        <v>18.91</v>
      </c>
      <c r="G12" s="20">
        <f>(G9/1.16)*0.7</f>
        <v>40984.490689655169</v>
      </c>
    </row>
    <row r="14" spans="5:10">
      <c r="E14" s="72" t="s">
        <v>52</v>
      </c>
    </row>
    <row r="15" spans="5:10">
      <c r="E15" s="73"/>
      <c r="G15">
        <v>76690.198400000008</v>
      </c>
    </row>
    <row r="18" spans="5:12">
      <c r="E18" s="24"/>
      <c r="F18" s="25"/>
      <c r="G18" s="25"/>
      <c r="H18" s="25"/>
      <c r="I18" s="26"/>
    </row>
    <row r="19" spans="5:12">
      <c r="E19" s="51" t="s">
        <v>55</v>
      </c>
      <c r="F19" s="52"/>
      <c r="G19" s="52"/>
      <c r="H19" s="53" t="s">
        <v>3</v>
      </c>
      <c r="I19" s="54"/>
    </row>
    <row r="20" spans="5:12">
      <c r="E20" s="62" t="s">
        <v>56</v>
      </c>
      <c r="F20" s="55"/>
      <c r="G20" s="55"/>
      <c r="H20" s="56">
        <f>E6*1000</f>
        <v>4920</v>
      </c>
      <c r="I20" s="63" t="s">
        <v>57</v>
      </c>
    </row>
    <row r="21" spans="5:12">
      <c r="E21" s="64" t="s">
        <v>66</v>
      </c>
      <c r="F21" s="13"/>
      <c r="G21" s="13"/>
      <c r="H21" s="21">
        <f>ROUNDUP(E9/1.16,4)</f>
        <v>0.62939999999999996</v>
      </c>
      <c r="I21" s="65"/>
      <c r="L21" s="61"/>
    </row>
    <row r="22" spans="5:12">
      <c r="E22" s="66" t="s">
        <v>67</v>
      </c>
      <c r="H22">
        <f>E12</f>
        <v>18.91</v>
      </c>
      <c r="I22" s="67"/>
    </row>
    <row r="23" spans="5:12">
      <c r="E23" s="64" t="s">
        <v>58</v>
      </c>
      <c r="F23" s="13"/>
      <c r="G23" s="13"/>
      <c r="H23" s="22">
        <f>H20*H21*E12</f>
        <v>58557.613679999995</v>
      </c>
      <c r="I23" s="65"/>
    </row>
    <row r="24" spans="5:12">
      <c r="E24" s="64" t="s">
        <v>59</v>
      </c>
      <c r="F24" s="13"/>
      <c r="G24" s="13"/>
      <c r="H24" s="23">
        <f>H23*0.16</f>
        <v>9369.2181887999996</v>
      </c>
      <c r="I24" s="65"/>
    </row>
    <row r="25" spans="5:12">
      <c r="E25" s="68" t="s">
        <v>60</v>
      </c>
      <c r="F25" s="69"/>
      <c r="G25" s="69"/>
      <c r="H25" s="70">
        <f>H23+H24</f>
        <v>67926.8318688</v>
      </c>
      <c r="I25" s="7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1790-BCAC-4C5C-8EE5-E315870EEFE4}">
  <dimension ref="F4:K29"/>
  <sheetViews>
    <sheetView topLeftCell="C10" zoomScale="160" zoomScaleNormal="160" workbookViewId="0">
      <selection activeCell="I29" sqref="I29"/>
    </sheetView>
  </sheetViews>
  <sheetFormatPr baseColWidth="10" defaultRowHeight="15"/>
  <cols>
    <col min="7" max="7" width="31.28515625" customWidth="1"/>
    <col min="9" max="9" width="20" customWidth="1"/>
    <col min="11" max="11" width="23.5703125" customWidth="1"/>
  </cols>
  <sheetData>
    <row r="4" spans="6:11" ht="30">
      <c r="F4" s="13" t="s">
        <v>20</v>
      </c>
      <c r="G4" s="13" t="s">
        <v>21</v>
      </c>
      <c r="H4" s="13"/>
      <c r="I4" s="13" t="s">
        <v>22</v>
      </c>
      <c r="J4" s="13"/>
      <c r="K4" s="107" t="s">
        <v>68</v>
      </c>
    </row>
    <row r="5" spans="6:11">
      <c r="F5" s="13">
        <v>1</v>
      </c>
      <c r="G5" s="14">
        <f>'GRÁFICA GENERAL '!I19</f>
        <v>27854.151999999998</v>
      </c>
      <c r="H5" s="13"/>
      <c r="I5" s="14">
        <f>G5</f>
        <v>27854.151999999998</v>
      </c>
      <c r="J5" s="13"/>
      <c r="K5" s="13">
        <v>5</v>
      </c>
    </row>
    <row r="6" spans="6:11">
      <c r="F6" s="13">
        <v>2</v>
      </c>
      <c r="G6" s="14">
        <f>G5*(1+($K$5/100))</f>
        <v>29246.8596</v>
      </c>
      <c r="H6" s="13"/>
      <c r="I6" s="14">
        <f>I5+G6</f>
        <v>57101.011599999998</v>
      </c>
      <c r="J6" s="13"/>
      <c r="K6" s="13"/>
    </row>
    <row r="7" spans="6:11">
      <c r="F7" s="13">
        <v>3</v>
      </c>
      <c r="G7" s="14">
        <f t="shared" ref="G7:G29" si="0">G6*(1+($K$5/100))</f>
        <v>30709.202580000001</v>
      </c>
      <c r="H7" s="13"/>
      <c r="I7" s="14">
        <f>I6+G7</f>
        <v>87810.214179999995</v>
      </c>
      <c r="J7" s="13"/>
      <c r="K7" s="13"/>
    </row>
    <row r="8" spans="6:11">
      <c r="F8" s="13">
        <v>4</v>
      </c>
      <c r="G8" s="14">
        <f t="shared" si="0"/>
        <v>32244.662709000004</v>
      </c>
      <c r="H8" s="13"/>
      <c r="I8" s="14">
        <f t="shared" ref="I8:I29" si="1">I7+G8</f>
        <v>120054.87688900001</v>
      </c>
      <c r="J8" s="13"/>
      <c r="K8" s="13"/>
    </row>
    <row r="9" spans="6:11">
      <c r="F9" s="13">
        <v>5</v>
      </c>
      <c r="G9" s="14">
        <f t="shared" si="0"/>
        <v>33856.895844450002</v>
      </c>
      <c r="H9" s="13"/>
      <c r="I9" s="14">
        <f t="shared" si="1"/>
        <v>153911.77273344999</v>
      </c>
      <c r="J9" s="13"/>
      <c r="K9" s="13"/>
    </row>
    <row r="10" spans="6:11">
      <c r="F10" s="13">
        <v>6</v>
      </c>
      <c r="G10" s="14">
        <f t="shared" si="0"/>
        <v>35549.740636672504</v>
      </c>
      <c r="H10" s="13"/>
      <c r="I10" s="14">
        <f t="shared" si="1"/>
        <v>189461.5133701225</v>
      </c>
      <c r="J10" s="13"/>
      <c r="K10" s="13"/>
    </row>
    <row r="11" spans="6:11">
      <c r="F11" s="13">
        <v>7</v>
      </c>
      <c r="G11" s="14">
        <f t="shared" si="0"/>
        <v>37327.22766850613</v>
      </c>
      <c r="H11" s="13"/>
      <c r="I11" s="14">
        <f t="shared" si="1"/>
        <v>226788.74103862862</v>
      </c>
      <c r="J11" s="13"/>
      <c r="K11" s="13"/>
    </row>
    <row r="12" spans="6:11">
      <c r="F12" s="13">
        <v>8</v>
      </c>
      <c r="G12" s="14">
        <f t="shared" si="0"/>
        <v>39193.589051931434</v>
      </c>
      <c r="H12" s="13"/>
      <c r="I12" s="14">
        <f t="shared" si="1"/>
        <v>265982.33009056008</v>
      </c>
      <c r="J12" s="13"/>
      <c r="K12" s="13"/>
    </row>
    <row r="13" spans="6:11">
      <c r="F13" s="13">
        <v>9</v>
      </c>
      <c r="G13" s="14">
        <f t="shared" si="0"/>
        <v>41153.268504528009</v>
      </c>
      <c r="H13" s="13"/>
      <c r="I13" s="14">
        <f t="shared" si="1"/>
        <v>307135.59859508811</v>
      </c>
      <c r="J13" s="13"/>
      <c r="K13" s="13"/>
    </row>
    <row r="14" spans="6:11">
      <c r="F14" s="13">
        <v>10</v>
      </c>
      <c r="G14" s="14">
        <f t="shared" si="0"/>
        <v>43210.931929754413</v>
      </c>
      <c r="H14" s="13"/>
      <c r="I14" s="14">
        <f t="shared" si="1"/>
        <v>350346.53052484256</v>
      </c>
      <c r="J14" s="13"/>
      <c r="K14" s="13"/>
    </row>
    <row r="15" spans="6:11">
      <c r="F15" s="13">
        <v>11</v>
      </c>
      <c r="G15" s="14">
        <f t="shared" si="0"/>
        <v>45371.478526242136</v>
      </c>
      <c r="H15" s="13"/>
      <c r="I15" s="14">
        <f t="shared" si="1"/>
        <v>395718.00905108469</v>
      </c>
      <c r="J15" s="13"/>
      <c r="K15" s="13"/>
    </row>
    <row r="16" spans="6:11">
      <c r="F16" s="13">
        <v>12</v>
      </c>
      <c r="G16" s="14">
        <f t="shared" si="0"/>
        <v>47640.052452554242</v>
      </c>
      <c r="H16" s="13"/>
      <c r="I16" s="14">
        <f t="shared" si="1"/>
        <v>443358.06150363892</v>
      </c>
      <c r="J16" s="13"/>
      <c r="K16" s="13"/>
    </row>
    <row r="17" spans="6:11">
      <c r="F17" s="13">
        <v>13</v>
      </c>
      <c r="G17" s="14">
        <f t="shared" si="0"/>
        <v>50022.055075181954</v>
      </c>
      <c r="H17" s="13"/>
      <c r="I17" s="14">
        <f t="shared" si="1"/>
        <v>493380.11657882086</v>
      </c>
      <c r="J17" s="13"/>
      <c r="K17" s="13"/>
    </row>
    <row r="18" spans="6:11">
      <c r="F18" s="13">
        <v>14</v>
      </c>
      <c r="G18" s="14">
        <f t="shared" si="0"/>
        <v>52523.157828941054</v>
      </c>
      <c r="H18" s="13"/>
      <c r="I18" s="14">
        <f t="shared" si="1"/>
        <v>545903.27440776187</v>
      </c>
      <c r="J18" s="13"/>
      <c r="K18" s="13"/>
    </row>
    <row r="19" spans="6:11">
      <c r="F19" s="13">
        <v>15</v>
      </c>
      <c r="G19" s="14">
        <f t="shared" si="0"/>
        <v>55149.315720388106</v>
      </c>
      <c r="H19" s="13"/>
      <c r="I19" s="14">
        <f t="shared" si="1"/>
        <v>601052.59012814995</v>
      </c>
      <c r="J19" s="13"/>
      <c r="K19" s="13"/>
    </row>
    <row r="20" spans="6:11">
      <c r="F20" s="13">
        <v>16</v>
      </c>
      <c r="G20" s="14">
        <f t="shared" si="0"/>
        <v>57906.781506407511</v>
      </c>
      <c r="H20" s="13"/>
      <c r="I20" s="14">
        <f t="shared" si="1"/>
        <v>658959.37163455749</v>
      </c>
      <c r="J20" s="13"/>
      <c r="K20" s="13"/>
    </row>
    <row r="21" spans="6:11">
      <c r="F21" s="13">
        <v>17</v>
      </c>
      <c r="G21" s="14">
        <f t="shared" si="0"/>
        <v>60802.12058172789</v>
      </c>
      <c r="H21" s="13"/>
      <c r="I21" s="14">
        <f t="shared" si="1"/>
        <v>719761.49221628543</v>
      </c>
      <c r="J21" s="13"/>
      <c r="K21" s="13"/>
    </row>
    <row r="22" spans="6:11">
      <c r="F22" s="13">
        <v>18</v>
      </c>
      <c r="G22" s="14">
        <f t="shared" si="0"/>
        <v>63842.226610814287</v>
      </c>
      <c r="H22" s="13"/>
      <c r="I22" s="14">
        <f t="shared" si="1"/>
        <v>783603.71882709977</v>
      </c>
      <c r="J22" s="13"/>
      <c r="K22" s="13"/>
    </row>
    <row r="23" spans="6:11">
      <c r="F23" s="13">
        <v>19</v>
      </c>
      <c r="G23" s="14">
        <f t="shared" si="0"/>
        <v>67034.337941354999</v>
      </c>
      <c r="H23" s="13"/>
      <c r="I23" s="14">
        <f t="shared" si="1"/>
        <v>850638.05676845473</v>
      </c>
      <c r="J23" s="13"/>
      <c r="K23" s="13"/>
    </row>
    <row r="24" spans="6:11">
      <c r="F24" s="13">
        <v>20</v>
      </c>
      <c r="G24" s="14">
        <f t="shared" si="0"/>
        <v>70386.054838422759</v>
      </c>
      <c r="H24" s="13"/>
      <c r="I24" s="14">
        <f t="shared" si="1"/>
        <v>921024.11160687753</v>
      </c>
      <c r="J24" s="13"/>
      <c r="K24" s="13"/>
    </row>
    <row r="25" spans="6:11">
      <c r="F25" s="13">
        <v>21</v>
      </c>
      <c r="G25" s="14">
        <f t="shared" si="0"/>
        <v>73905.357580343902</v>
      </c>
      <c r="H25" s="13"/>
      <c r="I25" s="14">
        <f t="shared" si="1"/>
        <v>994929.46918722149</v>
      </c>
      <c r="J25" s="13"/>
      <c r="K25" s="13"/>
    </row>
    <row r="26" spans="6:11">
      <c r="F26" s="13">
        <v>22</v>
      </c>
      <c r="G26" s="14">
        <f t="shared" si="0"/>
        <v>77600.625459361094</v>
      </c>
      <c r="H26" s="13"/>
      <c r="I26" s="14">
        <f t="shared" si="1"/>
        <v>1072530.0946465826</v>
      </c>
      <c r="J26" s="13"/>
      <c r="K26" s="13"/>
    </row>
    <row r="27" spans="6:11">
      <c r="F27" s="13">
        <v>23</v>
      </c>
      <c r="G27" s="14">
        <f t="shared" si="0"/>
        <v>81480.656732329153</v>
      </c>
      <c r="H27" s="13"/>
      <c r="I27" s="14">
        <f t="shared" si="1"/>
        <v>1154010.7513789118</v>
      </c>
      <c r="J27" s="13"/>
      <c r="K27" s="13"/>
    </row>
    <row r="28" spans="6:11">
      <c r="F28" s="13">
        <v>24</v>
      </c>
      <c r="G28" s="14">
        <f t="shared" si="0"/>
        <v>85554.689568945614</v>
      </c>
      <c r="H28" s="13"/>
      <c r="I28" s="14">
        <f t="shared" si="1"/>
        <v>1239565.4409478575</v>
      </c>
      <c r="J28" s="13"/>
      <c r="K28" s="13"/>
    </row>
    <row r="29" spans="6:11">
      <c r="F29" s="13">
        <v>25</v>
      </c>
      <c r="G29" s="14">
        <f t="shared" si="0"/>
        <v>89832.424047392895</v>
      </c>
      <c r="H29" s="13"/>
      <c r="I29" s="14">
        <f t="shared" si="1"/>
        <v>1329397.8649952502</v>
      </c>
      <c r="J29" s="13"/>
      <c r="K2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Desglose energía</vt:lpstr>
      <vt:lpstr>CON FV</vt:lpstr>
      <vt:lpstr>GRÁFICA GENERAL </vt:lpstr>
      <vt:lpstr>COSTOS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Alan González</cp:lastModifiedBy>
  <dcterms:created xsi:type="dcterms:W3CDTF">2015-06-05T18:19:34Z</dcterms:created>
  <dcterms:modified xsi:type="dcterms:W3CDTF">2025-09-19T02:15:44Z</dcterms:modified>
</cp:coreProperties>
</file>